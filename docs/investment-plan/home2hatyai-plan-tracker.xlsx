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ริ่มที่นี่" sheetId="1" state="visible" r:id="rId1"/>
    <sheet name="แดชบอร์ด" sheetId="2" state="visible" r:id="rId2"/>
    <sheet name="บันทึกรายวัน" sheetId="3" state="visible" r:id="rId3"/>
    <sheet name="ดีลในมือ" sheetId="4" state="visible" r:id="rId4"/>
    <sheet name="พอร์ตลงทุน" sheetId="5" state="visible" r:id="rId5"/>
    <sheet name="มูลค่าพอร์ตรายวัน" sheetId="6" state="visible" r:id="rId6"/>
    <sheet name="ตั้งค่า" sheetId="7" state="visible" r:id="rId7"/>
    <sheet name="กฎเหล็ก" sheetId="8" state="visible" r:id="rId8"/>
    <sheet name="แผน12เดือน" sheetId="9" state="visible" r:id="rId9"/>
  </sheets>
  <definedNames>
    <definedName name="_xlnm._FilterDatabase" localSheetId="2" hidden="1">'บันทึกรายวัน'!$A$3:$P$373</definedName>
  </definedNames>
  <calcPr calcId="124519" fullCalcOnLoad="1"/>
</workbook>
</file>

<file path=xl/styles.xml><?xml version="1.0" encoding="utf-8"?>
<styleSheet xmlns="http://schemas.openxmlformats.org/spreadsheetml/2006/main">
  <numFmts count="14">
    <numFmt numFmtId="164" formatCode="0.0%"/>
    <numFmt numFmtId="165" formatCode="0.0&quot; ดีล&quot;"/>
    <numFmt numFmtId="166" formatCode="0&quot; คน&quot;"/>
    <numFmt numFmtId="167" formatCode="0.0&quot; คน&quot;"/>
    <numFmt numFmtId="168" formatCode="0.00&quot;x&quot;"/>
    <numFmt numFmtId="169" formatCode="0.0"/>
    <numFmt numFmtId="170" formatCode="yyyy-mm-dd"/>
    <numFmt numFmtId="171" formatCode="dd/mm/yyyy"/>
    <numFmt numFmtId="172" formatCode="0&quot; วัน&quot;"/>
    <numFmt numFmtId="173" formatCode="#,##0&quot; คน&quot;"/>
    <numFmt numFmtId="174" formatCode="0.0&quot; เดือน&quot;"/>
    <numFmt numFmtId="175" formatCode="#,##0&quot; ดีล&quot;"/>
    <numFmt numFmtId="176" formatCode="mmm yyyy"/>
    <numFmt numFmtId="177" formatCode="0&quot; ดีล&quot;"/>
  </numFmts>
  <fonts count="17">
    <font>
      <name val="Calibri"/>
      <family val="2"/>
      <color theme="1"/>
      <sz val="11"/>
      <scheme val="minor"/>
    </font>
    <font>
      <name val="Arial"/>
      <b val="1"/>
      <color rgb="00FFFFFF"/>
      <sz val="16"/>
    </font>
    <font>
      <name val="Arial"/>
      <color rgb="006B7280"/>
      <sz val="10"/>
    </font>
    <font>
      <name val="Arial"/>
      <b val="1"/>
      <color rgb="000F766E"/>
      <sz val="12"/>
    </font>
    <font>
      <name val="Arial"/>
      <color rgb="001F2937"/>
      <sz val="11"/>
    </font>
    <font>
      <name val="Arial"/>
      <b val="1"/>
      <color rgb="000000FF"/>
      <sz val="11"/>
    </font>
    <font>
      <name val="Arial"/>
      <color rgb="006B7280"/>
      <sz val="9"/>
    </font>
    <font>
      <name val="Arial"/>
      <b val="1"/>
      <color rgb="001F2937"/>
      <sz val="11"/>
    </font>
    <font>
      <name val="Arial"/>
      <b val="1"/>
      <color rgb="00FFFFFF"/>
      <sz val="10"/>
    </font>
    <font>
      <name val="Arial"/>
      <color rgb="001F2937"/>
      <sz val="10"/>
    </font>
    <font>
      <name val="Arial"/>
      <b val="1"/>
      <color rgb="00047857"/>
      <sz val="11"/>
    </font>
    <font>
      <name val="Arial"/>
      <b val="1"/>
      <color rgb="001F2937"/>
      <sz val="10"/>
    </font>
    <font>
      <name val="Arial"/>
      <b val="1"/>
      <color rgb="001F2937"/>
      <sz val="12"/>
    </font>
    <font>
      <name val="Arial"/>
      <b val="1"/>
      <color rgb="00FFFFFF"/>
      <sz val="11"/>
    </font>
    <font>
      <name val="Arial"/>
      <color rgb="00FFFFFF"/>
      <sz val="9"/>
    </font>
    <font>
      <name val="Arial"/>
      <color rgb="000000FF"/>
      <sz val="11"/>
    </font>
    <font>
      <name val="Arial"/>
      <color rgb="00FFFFFF"/>
      <sz val="10"/>
    </font>
  </fonts>
  <fills count="6">
    <fill>
      <patternFill/>
    </fill>
    <fill>
      <patternFill patternType="gray125"/>
    </fill>
    <fill>
      <patternFill patternType="solid">
        <fgColor rgb="000F766E"/>
      </patternFill>
    </fill>
    <fill>
      <patternFill patternType="solid">
        <fgColor rgb="00CCFBF1"/>
      </patternFill>
    </fill>
    <fill>
      <patternFill patternType="solid">
        <fgColor rgb="00FEF9C3"/>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horizontal="left" vertical="center"/>
    </xf>
    <xf numFmtId="0" fontId="8" fillId="2" borderId="1" applyAlignment="1" pivotButton="0" quotePrefix="0" xfId="0">
      <alignment horizontal="left" vertical="center"/>
    </xf>
    <xf numFmtId="0" fontId="7" fillId="0" borderId="1" applyAlignment="1" pivotButton="0" quotePrefix="0" xfId="0">
      <alignment horizontal="left" vertical="center"/>
    </xf>
    <xf numFmtId="0" fontId="12" fillId="5" borderId="1" applyAlignment="1" pivotButton="0" quotePrefix="0" xfId="0">
      <alignment horizontal="center" vertical="center"/>
    </xf>
    <xf numFmtId="0" fontId="6" fillId="0" borderId="1" applyAlignment="1" pivotButton="0" quotePrefix="0" xfId="0">
      <alignment horizontal="left" vertical="center"/>
    </xf>
    <xf numFmtId="0" fontId="8" fillId="2" borderId="1" applyAlignment="1" pivotButton="0" quotePrefix="0" xfId="0">
      <alignment horizontal="center" vertical="center"/>
    </xf>
    <xf numFmtId="0" fontId="4" fillId="0" borderId="1" applyAlignment="1" pivotButton="0" quotePrefix="0" xfId="0">
      <alignment horizontal="left" vertical="center"/>
    </xf>
    <xf numFmtId="3" fontId="9" fillId="5" borderId="1" applyAlignment="1" pivotButton="0" quotePrefix="0" xfId="0">
      <alignment horizontal="right" vertical="center"/>
    </xf>
    <xf numFmtId="168" fontId="9" fillId="5" borderId="1" applyAlignment="1" pivotButton="0" quotePrefix="0" xfId="0">
      <alignment horizontal="right" vertical="center"/>
    </xf>
    <xf numFmtId="164" fontId="9" fillId="5" borderId="1" applyAlignment="1" pivotButton="0" quotePrefix="0" xfId="0">
      <alignment horizontal="right" vertical="center"/>
    </xf>
    <xf numFmtId="164" fontId="7" fillId="5" borderId="1" applyAlignment="1" pivotButton="0" quotePrefix="0" xfId="0">
      <alignment horizontal="center" vertical="center"/>
    </xf>
    <xf numFmtId="0" fontId="2" fillId="0" borderId="1" applyAlignment="1" pivotButton="0" quotePrefix="0" xfId="0">
      <alignment horizontal="center" vertical="center"/>
    </xf>
    <xf numFmtId="0" fontId="6" fillId="0" borderId="1" applyAlignment="1" pivotButton="0" quotePrefix="0" xfId="0">
      <alignment horizontal="left" vertical="center" wrapText="1"/>
    </xf>
    <xf numFmtId="3" fontId="7" fillId="5" borderId="1" applyAlignment="1" pivotButton="0" quotePrefix="0" xfId="0">
      <alignment horizontal="center" vertical="center"/>
    </xf>
    <xf numFmtId="172" fontId="7" fillId="5" borderId="1" applyAlignment="1" pivotButton="0" quotePrefix="0" xfId="0">
      <alignment horizontal="center" vertical="center"/>
    </xf>
    <xf numFmtId="173" fontId="7" fillId="5" borderId="1" applyAlignment="1" pivotButton="0" quotePrefix="0" xfId="0">
      <alignment horizontal="center" vertical="center"/>
    </xf>
    <xf numFmtId="174" fontId="7" fillId="5" borderId="1" applyAlignment="1" pivotButton="0" quotePrefix="0" xfId="0">
      <alignment horizontal="center" vertical="center"/>
    </xf>
    <xf numFmtId="0" fontId="8" fillId="2" borderId="1" applyAlignment="1" pivotButton="0" quotePrefix="0" xfId="0">
      <alignment horizontal="center" vertical="center" wrapText="1"/>
    </xf>
    <xf numFmtId="171" fontId="9" fillId="0" borderId="1" applyAlignment="1" pivotButton="0" quotePrefix="0" xfId="0">
      <alignment horizontal="center" vertical="center"/>
    </xf>
    <xf numFmtId="3" fontId="9" fillId="4" borderId="1" applyAlignment="1" pivotButton="0" quotePrefix="0" xfId="0">
      <alignment horizontal="right" vertical="center"/>
    </xf>
    <xf numFmtId="0" fontId="9" fillId="5" borderId="1" applyAlignment="1" pivotButton="0" quotePrefix="0" xfId="0">
      <alignment horizontal="center" vertical="center"/>
    </xf>
    <xf numFmtId="0" fontId="9" fillId="4" borderId="1" applyAlignment="1" pivotButton="0" quotePrefix="0" xfId="0">
      <alignment horizontal="left" vertical="center"/>
    </xf>
    <xf numFmtId="0" fontId="9" fillId="0" borderId="1" applyAlignment="1" pivotButton="0" quotePrefix="0" xfId="0">
      <alignment horizontal="left" vertical="center"/>
    </xf>
    <xf numFmtId="169" fontId="10" fillId="5" borderId="1" applyAlignment="1" pivotButton="0" quotePrefix="0" xfId="0">
      <alignment horizontal="right" vertical="center"/>
    </xf>
    <xf numFmtId="3" fontId="10" fillId="5" borderId="1" applyAlignment="1" pivotButton="0" quotePrefix="0" xfId="0">
      <alignment horizontal="right" vertical="center"/>
    </xf>
    <xf numFmtId="164" fontId="10" fillId="5" borderId="1" applyAlignment="1" pivotButton="0" quotePrefix="0" xfId="0">
      <alignment horizontal="right" vertical="center"/>
    </xf>
    <xf numFmtId="171" fontId="11" fillId="0" borderId="1" applyAlignment="1" pivotButton="0" quotePrefix="0" xfId="0">
      <alignment horizontal="center" vertical="center"/>
    </xf>
    <xf numFmtId="0" fontId="2" fillId="0" borderId="1" applyAlignment="1" pivotButton="0" quotePrefix="0" xfId="0">
      <alignment horizontal="left" vertical="center"/>
    </xf>
    <xf numFmtId="175" fontId="12" fillId="5" borderId="1" applyAlignment="1" pivotButton="0" quotePrefix="0" xfId="0">
      <alignment horizontal="right" vertical="center"/>
    </xf>
    <xf numFmtId="3" fontId="12" fillId="5" borderId="1" applyAlignment="1" pivotButton="0" quotePrefix="0" xfId="0">
      <alignment horizontal="right" vertical="center"/>
    </xf>
    <xf numFmtId="0" fontId="9" fillId="4" borderId="1" applyAlignment="1" pivotButton="0" quotePrefix="0" xfId="0">
      <alignment horizontal="center" vertical="center"/>
    </xf>
    <xf numFmtId="9" fontId="9" fillId="5" borderId="1" applyAlignment="1" pivotButton="0" quotePrefix="0" xfId="0">
      <alignment horizontal="center" vertical="center"/>
    </xf>
    <xf numFmtId="171" fontId="9" fillId="4" borderId="1" applyAlignment="1" pivotButton="0" quotePrefix="0" xfId="0">
      <alignment horizontal="center" vertical="center"/>
    </xf>
    <xf numFmtId="171" fontId="9" fillId="5" borderId="1" applyAlignment="1" pivotButton="0" quotePrefix="0" xfId="0">
      <alignment horizontal="center" vertical="center"/>
    </xf>
    <xf numFmtId="3" fontId="9" fillId="5" borderId="1" applyAlignment="1" pivotButton="0" quotePrefix="0" xfId="0">
      <alignment horizontal="center" vertical="center"/>
    </xf>
    <xf numFmtId="9" fontId="9" fillId="0" borderId="1" applyAlignment="1" pivotButton="0" quotePrefix="0" xfId="0">
      <alignment horizontal="center" vertical="center"/>
    </xf>
    <xf numFmtId="3" fontId="10" fillId="5" borderId="1" applyAlignment="1" pivotButton="0" quotePrefix="0" xfId="0">
      <alignment horizontal="center" vertical="center"/>
    </xf>
    <xf numFmtId="0" fontId="11" fillId="4" borderId="1" applyAlignment="1" pivotButton="0" quotePrefix="0" xfId="0">
      <alignment horizontal="center" vertical="center"/>
    </xf>
    <xf numFmtId="164" fontId="9" fillId="4" borderId="1" applyAlignment="1" pivotButton="0" quotePrefix="0" xfId="0">
      <alignment horizontal="center" vertical="center"/>
    </xf>
    <xf numFmtId="0" fontId="13" fillId="2" borderId="1" applyAlignment="1" pivotButton="0" quotePrefix="0" xfId="0">
      <alignment horizontal="center" vertical="center"/>
    </xf>
    <xf numFmtId="0" fontId="13" fillId="2" borderId="1" applyAlignment="1" pivotButton="0" quotePrefix="0" xfId="0">
      <alignment horizontal="left" vertical="center"/>
    </xf>
    <xf numFmtId="0" fontId="4" fillId="2" borderId="1" applyAlignment="1" pivotButton="0" quotePrefix="0" xfId="0">
      <alignment horizontal="left" vertical="center"/>
    </xf>
    <xf numFmtId="3" fontId="13" fillId="2" borderId="1" applyAlignment="1" pivotButton="0" quotePrefix="0" xfId="0">
      <alignment horizontal="right" vertical="center"/>
    </xf>
    <xf numFmtId="164" fontId="13" fillId="2" borderId="1" applyAlignment="1" pivotButton="0" quotePrefix="0" xfId="0">
      <alignment horizontal="right" vertical="center"/>
    </xf>
    <xf numFmtId="164" fontId="13" fillId="2" borderId="1" applyAlignment="1" pivotButton="0" quotePrefix="0" xfId="0">
      <alignment horizontal="center" vertical="center"/>
    </xf>
    <xf numFmtId="0" fontId="14" fillId="2" borderId="1" applyAlignment="1" pivotButton="0" quotePrefix="0" xfId="0">
      <alignment horizontal="left" vertical="center"/>
    </xf>
    <xf numFmtId="0" fontId="7" fillId="0" borderId="1" applyAlignment="1" pivotButton="0" quotePrefix="0" xfId="0">
      <alignment horizontal="center" vertical="center"/>
    </xf>
    <xf numFmtId="3" fontId="4" fillId="5" borderId="1" applyAlignment="1" pivotButton="0" quotePrefix="0" xfId="0">
      <alignment horizontal="right" vertical="center"/>
    </xf>
    <xf numFmtId="164" fontId="4" fillId="5" borderId="1" applyAlignment="1" pivotButton="0" quotePrefix="0" xfId="0">
      <alignment horizontal="right" vertical="center"/>
    </xf>
    <xf numFmtId="3" fontId="5" fillId="4" borderId="1" applyAlignment="1" pivotButton="0" quotePrefix="0" xfId="0">
      <alignment horizontal="right" vertical="center"/>
    </xf>
    <xf numFmtId="164" fontId="5" fillId="4" borderId="1" applyAlignment="1" pivotButton="0" quotePrefix="0" xfId="0">
      <alignment horizontal="right" vertical="center"/>
    </xf>
    <xf numFmtId="3" fontId="7" fillId="5" borderId="1" applyAlignment="1" pivotButton="0" quotePrefix="0" xfId="0">
      <alignment horizontal="right" vertical="center"/>
    </xf>
    <xf numFmtId="165" fontId="7" fillId="5" borderId="1" applyAlignment="1" pivotButton="0" quotePrefix="0" xfId="0">
      <alignment horizontal="right" vertical="center"/>
    </xf>
    <xf numFmtId="166" fontId="7" fillId="5" borderId="1" applyAlignment="1" pivotButton="0" quotePrefix="0" xfId="0">
      <alignment horizontal="right" vertical="center"/>
    </xf>
    <xf numFmtId="167" fontId="7" fillId="5" borderId="1" applyAlignment="1" pivotButton="0" quotePrefix="0" xfId="0">
      <alignment horizontal="right" vertical="center"/>
    </xf>
    <xf numFmtId="168" fontId="7" fillId="5" borderId="1" applyAlignment="1" pivotButton="0" quotePrefix="0" xfId="0">
      <alignment horizontal="right" vertical="center"/>
    </xf>
    <xf numFmtId="164" fontId="7" fillId="5" borderId="1" applyAlignment="1" pivotButton="0" quotePrefix="0" xfId="0">
      <alignment horizontal="right" vertical="center"/>
    </xf>
    <xf numFmtId="0" fontId="4" fillId="0" borderId="1" applyAlignment="1" pivotButton="0" quotePrefix="0" xfId="0">
      <alignment horizontal="left" vertical="center" wrapText="1"/>
    </xf>
    <xf numFmtId="0" fontId="2" fillId="0" borderId="1" applyAlignment="1" pivotButton="0" quotePrefix="0" xfId="0">
      <alignment horizontal="left" vertical="center" wrapText="1"/>
    </xf>
    <xf numFmtId="176" fontId="7" fillId="0" borderId="1" applyAlignment="1" pivotButton="0" quotePrefix="0" xfId="0">
      <alignment horizontal="center" vertical="center"/>
    </xf>
    <xf numFmtId="177" fontId="15" fillId="4" borderId="1" applyAlignment="1" pivotButton="0" quotePrefix="0" xfId="0">
      <alignment horizontal="center" vertical="center"/>
    </xf>
    <xf numFmtId="0" fontId="9" fillId="0" borderId="1" applyAlignment="1" pivotButton="0" quotePrefix="0" xfId="0">
      <alignment horizontal="left" vertical="center" wrapText="1"/>
    </xf>
    <xf numFmtId="177" fontId="13" fillId="2" borderId="1" applyAlignment="1" pivotButton="0" quotePrefix="0" xfId="0">
      <alignment horizontal="center" vertical="center"/>
    </xf>
    <xf numFmtId="0" fontId="16" fillId="2" borderId="1" applyAlignment="1" pivotButton="0" quotePrefix="0" xfId="0">
      <alignment horizontal="left" vertical="center"/>
    </xf>
  </cellXfs>
  <cellStyles count="1">
    <cellStyle name="Normal" xfId="0" builtinId="0" hidden="0"/>
  </cellStyles>
  <dxfs count="9">
    <dxf>
      <font>
        <name val="Arial"/>
        <b val="1"/>
        <color rgb="00047857"/>
      </font>
    </dxf>
    <dxf>
      <font>
        <name val="Arial"/>
        <b val="1"/>
        <color rgb="00B91C1C"/>
      </font>
    </dxf>
    <dxf>
      <fill>
        <patternFill patternType="solid">
          <fgColor rgb="00FEF3C7"/>
        </patternFill>
      </fill>
    </dxf>
    <dxf>
      <fill>
        <patternFill patternType="solid">
          <fgColor rgb="00F1F5F9"/>
        </patternFill>
      </fill>
    </dxf>
    <dxf>
      <font>
        <name val="Arial"/>
        <color rgb="00B91C1C"/>
      </font>
    </dxf>
    <dxf>
      <fill>
        <patternFill patternType="solid">
          <fgColor rgb="00DCFCE7"/>
        </patternFill>
      </fill>
    </dxf>
    <dxf>
      <font>
        <name val="Arial"/>
        <strike val="1"/>
        <color rgb="009CA3AF"/>
      </font>
    </dxf>
    <dxf>
      <font>
        <name val="Arial"/>
        <b val="1"/>
        <color rgb="00B91C1C"/>
      </font>
      <fill>
        <patternFill patternType="solid">
          <fgColor rgb="00FEE2E2"/>
        </patternFill>
      </fill>
    </dxf>
    <dxf>
      <font>
        <name val="Arial"/>
        <b val="1"/>
        <color rgb="00B4530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C11"/>
  <sheetViews>
    <sheetView showGridLines="0" workbookViewId="0">
      <selection activeCell="A1" sqref="A1"/>
    </sheetView>
  </sheetViews>
  <sheetFormatPr baseColWidth="8" defaultRowHeight="15"/>
  <cols>
    <col width="3" customWidth="1" min="1" max="1"/>
    <col width="30" customWidth="1" min="2" max="2"/>
    <col width="108" customWidth="1" min="3" max="3"/>
  </cols>
  <sheetData>
    <row r="1" ht="34" customHeight="1">
      <c r="A1" s="1" t="inlineStr">
        <is>
          <t>🏠 home2hatyai — แผนทำเงิน + แผนเก็บเงิน</t>
        </is>
      </c>
    </row>
    <row r="2" ht="30" customHeight="1">
      <c r="A2" s="2" t="inlineStr">
        <is>
          <t>อ่านแท็บนี้ครั้งเดียว 5 นาที แล้วใช้เวลาแค่ 3 นาที/วัน ตลอดทั้งปี</t>
        </is>
      </c>
    </row>
    <row r="4" ht="60" customHeight="1">
      <c r="B4" s="3" t="inlineStr">
        <is>
          <t>⚠️ ความจริงข้อแรก</t>
        </is>
      </c>
      <c r="C4" s="4" t="inlineStr">
        <is>
          <t>ไม่มีอะไรที่ 'ผลตอบแทนสูงสุด + ความเสี่ยงต่ำสุด' ในตัวเดียวกัน — นั่นคือกฎของการเงิน ไม่ใช่ความเห็น
ใครก็ตามที่เสนอผลตอบแทนการันตี 10-20% ต่อเดือน คือแชร์ลูกโซ่ 100% ให้ปฏิเสธทันทีโดยไม่ต้องคิด
สิ่งที่ทำได้จริงคือ 'แยกหน้าที่' — ให้ธุรกิจสร้างผลตอบแทนสูง ให้พอร์ตลงทุนทำหน้าที่ปลอดภัย</t>
        </is>
      </c>
    </row>
    <row r="5" ht="76" customHeight="1">
      <c r="B5" s="3" t="inlineStr">
        <is>
          <t>✨ ปาฏิหาริย์ที่มีจริง</t>
        </is>
      </c>
      <c r="C5" s="4" t="inlineStr">
        <is>
          <t>ธุรกิจนายหน้าอสังหาฯ ของคุณคือธุรกิจ 'ทุนต่ำ ไม่มีสต๊อก' — ความเสี่ยงถูกจำกัดที่ค่าโฆษณาเท่านั้น
ตัวอย่าง: ลงโฆษณา 15,000 บาท/เดือน → ปิดได้ 1 ดีล บ้าน 2.8 ล้าน คอม 3% = 84,000 บาท
= ผลตอบแทน 5.6 เท่าของเงินที่เสี่ยง (ROAS 460%) โดยขาดทุนสูงสุดที่เป็นไปได้คือ 15,000 บาท
ไม่มีหุ้น ไม่มีคริปโต ไม่มีกองทุนไหนให้แบบนี้ — เพราะมันต้องแลกด้วยฝีมือและแรงของคุณ นั่นคือ 'ขอบ' ของคุณ</t>
        </is>
      </c>
    </row>
    <row r="6" ht="60" customHeight="1">
      <c r="B6" s="3" t="inlineStr">
        <is>
          <t>🔧 เครื่องยนต์ 2 ตัว</t>
        </is>
      </c>
      <c r="C6" s="4" t="inlineStr">
        <is>
          <t>เครื่องที่ 1 — ธุรกิจ (ผลตอบแทนสูง เสี่ยงจำกัด): ปั่นเงินสดจากค่าคอมมิชชัน วัดผลทุกวัน
เครื่องที่ 2 — พอร์ตลงทุน (ผลตอบแทนพอประมาณ เสี่ยงต่ำจริง): รับกำไรจากเครื่องที่ 1 มาเก็บ
เงินไหลทางเดียว: ธุรกิจ ➜ พอร์ต   ห้ามไหลกลับ (ห้ามถอนพอร์ตมาเติมโฆษณาเด็ดขาด)</t>
        </is>
      </c>
    </row>
    <row r="7" ht="76" customHeight="1">
      <c r="B7" s="3" t="inlineStr">
        <is>
          <t>💧 กฎแบ่งเงิน 30/20/30/20</t>
        </is>
      </c>
      <c r="C7" s="4" t="inlineStr">
        <is>
          <t>ทุกบาทที่ได้จากค่าคอมมิชชัน แบ่งทันทีในวันที่ได้รับ ไม่ต้องคิด:
30% → บัญชีภาษี + เงินสำรอง   |   20% → เติมกลับเข้าโฆษณา (ขยายธุรกิจ)
30% → พอร์ตลงทุน   |   20% → ใช้จ่ายส่วนตัว (ให้รางวัลตัวเอง จะได้ทำต่อได้นาน)
แยกบัญชีธนาคาร 4 ใบจริง ๆ — วินัยที่ใช้ 'ระบบ' ชนะวินัยที่ใช้ 'ใจ' เสมอ</t>
        </is>
      </c>
    </row>
    <row r="8" ht="76" customHeight="1">
      <c r="B8" s="3" t="inlineStr">
        <is>
          <t>⏱️ ใช้ยังไง — 3 นาที/วัน</t>
        </is>
      </c>
      <c r="C8" s="4" t="inlineStr">
        <is>
          <t>1. เปิดแท็บ 'บันทึกรายวัน' หาแถววันนี้ (ไฮไลต์อัตโนมัติ) กรอกช่องสีเหลือง 8 ช่อง
2. เปิดแท็บ 'แดชบอร์ด' ดูไฟสัญญาณ 3 ดวง — เขียวคือเดินต่อ แดงคือหยุดแก้ก่อนใช้เงินเพิ่ม
3. วันที่ 1 และ 16 ของเดือน: โอนเงินเข้าพอร์ตตามกฎ แล้วบันทึกในแท็บ 'มูลค่าพอร์ตรายวัน'
แค่นี้ ไม่ต้องทำอะไรมากกว่านี้ — ความสม่ำเสมอสำคัญกว่าความสมบูรณ์แบบ</t>
        </is>
      </c>
    </row>
    <row r="9" ht="140" customHeight="1">
      <c r="B9" s="3" t="inlineStr">
        <is>
          <t>📑 แต่ละแท็บคืออะไร</t>
        </is>
      </c>
      <c r="C9" s="4" t="inlineStr">
        <is>
          <t>แดชบอร์ด — สรุปทุกอย่างหน้าเดียว ดูวันนี้ / 7 วัน / 30 วัน / เดือนนี้
บันทึกรายวัน — ที่เดียวที่คุณต้องกรอกทุกวัน (เตรียมวันที่ไว้ให้ 370 วันแล้ว)
ดีลในมือ — ท่อการขาย ใส่ลูกค้าทุกคนที่ยังไม่ปิด ระบบคำนวณมูลค่าถ่วงน้ำหนักให้
พอร์ตลงทุน — สินทรัพย์ที่ถืออยู่ + บอกว่าต้องซื้อ/ขายอะไรเพื่อให้ตรงเป้า
มูลค่าพอร์ตรายวัน — จดมูลค่าพอร์ต ระบบคำนวณกำไรและ Drawdown ให้
ตั้งค่า — ตัวเลขสมมติฐานทั้งหมด แก้ที่เดียว ทั้งไฟล์เปลี่ยนตาม
กฎเหล็ก — 15 กฎกันเจ๊ง อ่านซ้ำทุกต้นเดือน
แผน 12 เดือน — เส้นทางเดือนต่อเดือน จากวันนี้ถึงปีหน้า</t>
        </is>
      </c>
    </row>
    <row r="10" ht="44" customHeight="1">
      <c r="B10" s="3" t="inlineStr">
        <is>
          <t>🎨 อ่านสียังไง</t>
        </is>
      </c>
      <c r="C10" s="4" t="inlineStr">
        <is>
          <t>ช่องสีเหลือง = คุณกรอกเอง   |   ช่องสีเทา = ระบบคำนวณให้ ห้ามพิมพ์ทับ
ตัวเลขสีน้ำเงิน = สมมติฐานที่แก้ได้   |   สีเขียว = ดี   |   สีแดง = ต้องแก้ก่อนใช้เงินเพิ่ม</t>
        </is>
      </c>
    </row>
    <row r="11" ht="76" customHeight="1">
      <c r="B11" s="3" t="inlineStr">
        <is>
          <t>📌 ข้อควรทราบ</t>
        </is>
      </c>
      <c r="C11" s="4" t="inlineStr">
        <is>
          <t>ตัวเลขตั้งต้นทั้งหมดเป็น 'สมมติฐาน' เพื่อให้เริ่มได้ทันที — ภายใน 30 วันแรก ตัวเลขจริงของคุณ
จะเข้ามาแทนที่ และแผนนี้จะกลายเป็นแผนของคุณจริง ๆ ไม่ใช่ของใคร
เอกสารนี้เป็นเครื่องมือวางแผนและติดตามผล ไม่ใช่คำแนะนำการลงทุนเฉพาะบุคคล
ก่อนซื้อผลิตภัณฑ์การเงินใด ๆ ตรวจสอบใบอนุญาตผู้ขายที่ www.sec.or.th (SEC Check First)</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tabColor rgb="00047857"/>
    <outlinePr summaryBelow="1" summaryRight="1"/>
    <pageSetUpPr/>
  </sheetPr>
  <dimension ref="A1:G52"/>
  <sheetViews>
    <sheetView showGridLines="0"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46" customWidth="1" min="7" max="7"/>
  </cols>
  <sheetData>
    <row r="1" ht="34" customHeight="1">
      <c r="A1" s="1" t="inlineStr">
        <is>
          <t>📊 แดชบอร์ด — ดูวันละ 30 วินาที</t>
        </is>
      </c>
    </row>
    <row r="2" ht="30" customHeight="1">
      <c r="A2" s="2" t="inlineStr">
        <is>
          <t>ทุกตัวเลขคำนวณจากแท็บ 'บันทึกรายวัน' และ 'มูลค่าพอร์ตรายวัน' อัตโนมัติ · ไม่ต้องกรอกอะไรในหน้านี้</t>
        </is>
      </c>
    </row>
    <row r="4" ht="24" customHeight="1">
      <c r="A4" s="5" t="inlineStr">
        <is>
          <t>🚦 ไฟสัญญาณ 3 ดวง</t>
        </is>
      </c>
    </row>
    <row r="5">
      <c r="A5" s="6" t="inlineStr">
        <is>
          <t>ด้าน</t>
        </is>
      </c>
      <c r="B5" s="6" t="inlineStr">
        <is>
          <t>สถานะ</t>
        </is>
      </c>
      <c r="G5" s="6" t="inlineStr">
        <is>
          <t>ทำอะไรต่อ</t>
        </is>
      </c>
    </row>
    <row r="6" ht="22" customHeight="1">
      <c r="A6" s="7" t="inlineStr">
        <is>
          <t>1) เครื่องยนต์ธุรกิจ</t>
        </is>
      </c>
      <c r="B6" s="8">
        <f>IF(D12=0,"⬜ ยังไม่มีข้อมูล — เริ่มบันทึกก่อน",IF(D22&gt;=3,"🟢 แข็งแรง — เพิ่มงบโฆษณาได้ไม่เกิน 20%",IF(D22&gt;=1.5,"🟡 พอไปได้ — คงงบเดิม ปรับคอนเทนต์ก่อน","🔴 หยุด — อย่าเพิ่งเพิ่มงบ แก้กลุ่มเป้าหมาย/คอนเทนต์ก่อน")))</f>
        <v/>
      </c>
      <c r="G6" s="9" t="inlineStr">
        <is>
          <t>วัดจาก ROAS 30 วันล่าสุด</t>
        </is>
      </c>
    </row>
    <row r="7" ht="22" customHeight="1">
      <c r="A7" s="7" t="inlineStr">
        <is>
          <t>2) พอร์ตลงทุน</t>
        </is>
      </c>
      <c r="B7" s="8">
        <f>IF(IFERROR(LOOKUP(2,1/('มูลค่าพอร์ตรายวัน'!$B$4:$B$373&lt;&gt;""),'มูลค่าพอร์ตรายวัน'!$B$4:$B$373),0)=0,"⬜ ยังไม่มีพอร์ต — เริ่มที่เงินสำรองก่อน",IF(IFERROR(LOOKUP(2,1/('มูลค่าพอร์ตรายวัน'!$B$4:$B$373&lt;&gt;""),'มูลค่าพอร์ตรายวัน'!$G$4:$G$373),0)&gt;=-0.05,"🟢 ปกติ — ทำตามแผน DCA ต่อ",IF(IFERROR(LOOKUP(2,1/('มูลค่าพอร์ตรายวัน'!$B$4:$B$373&lt;&gt;""),'มูลค่าพอร์ตรายวัน'!$G$4:$G$373),0)&gt;=-0.15,"🟡 ย่อตัวตามปกติ — ห้ามขาย ซื้อต่อตามแผน","🔴 ตลาดลงแรง — นี่คือช่วงที่ต้องซื้อ ไม่ใช่ขาย")))</f>
        <v/>
      </c>
      <c r="G7" s="9" t="inlineStr">
        <is>
          <t>วัดจาก Drawdown ปัจจุบัน</t>
        </is>
      </c>
    </row>
    <row r="8" ht="22" customHeight="1">
      <c r="A8" s="7" t="inlineStr">
        <is>
          <t>3) วินัยการบันทึก</t>
        </is>
      </c>
      <c r="B8" s="8">
        <f>IF(IFERROR(COUNTIFS('บันทึกรายวัน'!$A$4:$A$373,"&gt;="&amp;TODAY()-6,'บันทึกรายวัน'!$A$4:$A$373,"&lt;="&amp;TODAY(),'บันทึกรายวัน'!$O$4:$O$373,"✅*")/7,0)&gt;=0.85,"🟢 ยอดเยี่ยม — บันทึกครบเกือบทุกวัน",IF(IFERROR(COUNTIFS('บันทึกรายวัน'!$A$4:$A$373,"&gt;="&amp;TODAY()-6,'บันทึกรายวัน'!$A$4:$A$373,"&lt;="&amp;TODAY(),'บันทึกรายวัน'!$O$4:$O$373,"✅*")/7,0)&gt;=0.5,"🟡 ยังขาดบางวัน — ตั้งเตือน 21:00 น.","🔴 ขาดวินัย — แผนดีแค่ไหนก็ไม่ช่วย ถ้าไม่วัดผล"))</f>
        <v/>
      </c>
      <c r="G8" s="9" t="inlineStr">
        <is>
          <t>นับจาก 7 วันล่าสุดที่สถานะ = ผ่าน</t>
        </is>
      </c>
    </row>
    <row r="10" ht="24" customHeight="1">
      <c r="A10" s="5" t="inlineStr">
        <is>
          <t>📈 ตัวชี้วัดหลัก</t>
        </is>
      </c>
    </row>
    <row r="11">
      <c r="A11" s="6" t="inlineStr">
        <is>
          <t>ตัวชี้วัด</t>
        </is>
      </c>
      <c r="B11" s="10" t="inlineStr">
        <is>
          <t>วันนี้</t>
        </is>
      </c>
      <c r="C11" s="10" t="inlineStr">
        <is>
          <t>7 วันล่าสุด</t>
        </is>
      </c>
      <c r="D11" s="10" t="inlineStr">
        <is>
          <t>30 วันล่าสุด</t>
        </is>
      </c>
      <c r="E11" s="10" t="inlineStr">
        <is>
          <t>เดือนนี้</t>
        </is>
      </c>
      <c r="F11" s="10" t="inlineStr">
        <is>
          <t>ตั้งแต่เริ่ม</t>
        </is>
      </c>
      <c r="G11" s="6" t="inlineStr">
        <is>
          <t>เป้าหมาย / เกณฑ์</t>
        </is>
      </c>
    </row>
    <row r="12">
      <c r="A12" s="11" t="inlineStr">
        <is>
          <t>ค่าโฆษณาที่ใช้ (บาท)</t>
        </is>
      </c>
      <c r="B12" s="12">
        <f>SUMIFS('บันทึกรายวัน'!$B$4:$B$373,'บันทึกรายวัน'!$A$4:$A$373,TODAY())</f>
        <v/>
      </c>
      <c r="C12" s="12">
        <f>SUMIFS('บันทึกรายวัน'!$B$4:$B$373,'บันทึกรายวัน'!$A$4:$A$373,"&gt;="&amp;TODAY()-6,'บันทึกรายวัน'!$A$4:$A$373,"&lt;="&amp;TODAY())</f>
        <v/>
      </c>
      <c r="D12" s="12">
        <f>SUMIFS('บันทึกรายวัน'!$B$4:$B$373,'บันทึกรายวัน'!$A$4:$A$373,"&gt;="&amp;TODAY()-29,'บันทึกรายวัน'!$A$4:$A$373,"&lt;="&amp;TODAY())</f>
        <v/>
      </c>
      <c r="E12" s="12">
        <f>SUMIFS('บันทึกรายวัน'!$B$4:$B$373,'บันทึกรายวัน'!$A$4:$A$373,"&gt;="&amp;EOMONTH(TODAY(),-1)+1,'บันทึกรายวัน'!$A$4:$A$373,"&lt;="&amp;TODAY())</f>
        <v/>
      </c>
      <c r="F12" s="12">
        <f>SUMIFS('บันทึกรายวัน'!$B$4:$B$373,'บันทึกรายวัน'!$A$4:$A$373,"&lt;="&amp;TODAY())</f>
        <v/>
      </c>
      <c r="G12" s="9" t="inlineStr"/>
    </row>
    <row r="13">
      <c r="A13" s="11" t="inlineStr">
        <is>
          <t>คนทักเข้ามาใหม่ (คน)</t>
        </is>
      </c>
      <c r="B13" s="12">
        <f>SUMIFS('บันทึกรายวัน'!$C$4:$C$373,'บันทึกรายวัน'!$A$4:$A$373,TODAY())</f>
        <v/>
      </c>
      <c r="C13" s="12">
        <f>SUMIFS('บันทึกรายวัน'!$C$4:$C$373,'บันทึกรายวัน'!$A$4:$A$373,"&gt;="&amp;TODAY()-6,'บันทึกรายวัน'!$A$4:$A$373,"&lt;="&amp;TODAY())</f>
        <v/>
      </c>
      <c r="D13" s="12">
        <f>SUMIFS('บันทึกรายวัน'!$C$4:$C$373,'บันทึกรายวัน'!$A$4:$A$373,"&gt;="&amp;TODAY()-29,'บันทึกรายวัน'!$A$4:$A$373,"&lt;="&amp;TODAY())</f>
        <v/>
      </c>
      <c r="E13" s="12">
        <f>SUMIFS('บันทึกรายวัน'!$C$4:$C$373,'บันทึกรายวัน'!$A$4:$A$373,"&gt;="&amp;EOMONTH(TODAY(),-1)+1,'บันทึกรายวัน'!$A$4:$A$373,"&lt;="&amp;TODAY())</f>
        <v/>
      </c>
      <c r="F13" s="12">
        <f>SUMIFS('บันทึกรายวัน'!$C$4:$C$373,'บันทึกรายวัน'!$A$4:$A$373,"&lt;="&amp;TODAY())</f>
        <v/>
      </c>
      <c r="G13" s="9" t="inlineStr"/>
    </row>
    <row r="14">
      <c r="A14" s="11" t="inlineStr">
        <is>
          <t>lead คุณภาพ (คน)</t>
        </is>
      </c>
      <c r="B14" s="12">
        <f>SUMIFS('บันทึกรายวัน'!$D$4:$D$373,'บันทึกรายวัน'!$A$4:$A$373,TODAY())</f>
        <v/>
      </c>
      <c r="C14" s="12">
        <f>SUMIFS('บันทึกรายวัน'!$D$4:$D$373,'บันทึกรายวัน'!$A$4:$A$373,"&gt;="&amp;TODAY()-6,'บันทึกรายวัน'!$A$4:$A$373,"&lt;="&amp;TODAY())</f>
        <v/>
      </c>
      <c r="D14" s="12">
        <f>SUMIFS('บันทึกรายวัน'!$D$4:$D$373,'บันทึกรายวัน'!$A$4:$A$373,"&gt;="&amp;TODAY()-29,'บันทึกรายวัน'!$A$4:$A$373,"&lt;="&amp;TODAY())</f>
        <v/>
      </c>
      <c r="E14" s="12">
        <f>SUMIFS('บันทึกรายวัน'!$D$4:$D$373,'บันทึกรายวัน'!$A$4:$A$373,"&gt;="&amp;EOMONTH(TODAY(),-1)+1,'บันทึกรายวัน'!$A$4:$A$373,"&lt;="&amp;TODAY())</f>
        <v/>
      </c>
      <c r="F14" s="12">
        <f>SUMIFS('บันทึกรายวัน'!$D$4:$D$373,'บันทึกรายวัน'!$A$4:$A$373,"&lt;="&amp;TODAY())</f>
        <v/>
      </c>
      <c r="G14" s="9" t="inlineStr">
        <is>
          <t>เป้า/วัน อยู่ในแท็บ ตั้งค่า</t>
        </is>
      </c>
    </row>
    <row r="15">
      <c r="A15" s="11" t="inlineStr">
        <is>
          <t>นัดดูบ้าน (ครั้ง)</t>
        </is>
      </c>
      <c r="B15" s="12">
        <f>SUMIFS('บันทึกรายวัน'!$E$4:$E$373,'บันทึกรายวัน'!$A$4:$A$373,TODAY())</f>
        <v/>
      </c>
      <c r="C15" s="12">
        <f>SUMIFS('บันทึกรายวัน'!$E$4:$E$373,'บันทึกรายวัน'!$A$4:$A$373,"&gt;="&amp;TODAY()-6,'บันทึกรายวัน'!$A$4:$A$373,"&lt;="&amp;TODAY())</f>
        <v/>
      </c>
      <c r="D15" s="12">
        <f>SUMIFS('บันทึกรายวัน'!$E$4:$E$373,'บันทึกรายวัน'!$A$4:$A$373,"&gt;="&amp;TODAY()-29,'บันทึกรายวัน'!$A$4:$A$373,"&lt;="&amp;TODAY())</f>
        <v/>
      </c>
      <c r="E15" s="12">
        <f>SUMIFS('บันทึกรายวัน'!$E$4:$E$373,'บันทึกรายวัน'!$A$4:$A$373,"&gt;="&amp;EOMONTH(TODAY(),-1)+1,'บันทึกรายวัน'!$A$4:$A$373,"&lt;="&amp;TODAY())</f>
        <v/>
      </c>
      <c r="F15" s="12">
        <f>SUMIFS('บันทึกรายวัน'!$E$4:$E$373,'บันทึกรายวัน'!$A$4:$A$373,"&lt;="&amp;TODAY())</f>
        <v/>
      </c>
      <c r="G15" s="9" t="inlineStr"/>
    </row>
    <row r="16">
      <c r="A16" s="11" t="inlineStr">
        <is>
          <t>ยื่นกู้ (ราย)</t>
        </is>
      </c>
      <c r="B16" s="12">
        <f>SUMIFS('บันทึกรายวัน'!$F$4:$F$373,'บันทึกรายวัน'!$A$4:$A$373,TODAY())</f>
        <v/>
      </c>
      <c r="C16" s="12">
        <f>SUMIFS('บันทึกรายวัน'!$F$4:$F$373,'บันทึกรายวัน'!$A$4:$A$373,"&gt;="&amp;TODAY()-6,'บันทึกรายวัน'!$A$4:$A$373,"&lt;="&amp;TODAY())</f>
        <v/>
      </c>
      <c r="D16" s="12">
        <f>SUMIFS('บันทึกรายวัน'!$F$4:$F$373,'บันทึกรายวัน'!$A$4:$A$373,"&gt;="&amp;TODAY()-29,'บันทึกรายวัน'!$A$4:$A$373,"&lt;="&amp;TODAY())</f>
        <v/>
      </c>
      <c r="E16" s="12">
        <f>SUMIFS('บันทึกรายวัน'!$F$4:$F$373,'บันทึกรายวัน'!$A$4:$A$373,"&gt;="&amp;EOMONTH(TODAY(),-1)+1,'บันทึกรายวัน'!$A$4:$A$373,"&lt;="&amp;TODAY())</f>
        <v/>
      </c>
      <c r="F16" s="12">
        <f>SUMIFS('บันทึกรายวัน'!$F$4:$F$373,'บันทึกรายวัน'!$A$4:$A$373,"&lt;="&amp;TODAY())</f>
        <v/>
      </c>
      <c r="G16" s="9" t="inlineStr"/>
    </row>
    <row r="17">
      <c r="A17" s="11" t="inlineStr">
        <is>
          <t>อนุมัติกู้ (ราย)</t>
        </is>
      </c>
      <c r="B17" s="12">
        <f>SUMIFS('บันทึกรายวัน'!$G$4:$G$373,'บันทึกรายวัน'!$A$4:$A$373,TODAY())</f>
        <v/>
      </c>
      <c r="C17" s="12">
        <f>SUMIFS('บันทึกรายวัน'!$G$4:$G$373,'บันทึกรายวัน'!$A$4:$A$373,"&gt;="&amp;TODAY()-6,'บันทึกรายวัน'!$A$4:$A$373,"&lt;="&amp;TODAY())</f>
        <v/>
      </c>
      <c r="D17" s="12">
        <f>SUMIFS('บันทึกรายวัน'!$G$4:$G$373,'บันทึกรายวัน'!$A$4:$A$373,"&gt;="&amp;TODAY()-29,'บันทึกรายวัน'!$A$4:$A$373,"&lt;="&amp;TODAY())</f>
        <v/>
      </c>
      <c r="E17" s="12">
        <f>SUMIFS('บันทึกรายวัน'!$G$4:$G$373,'บันทึกรายวัน'!$A$4:$A$373,"&gt;="&amp;EOMONTH(TODAY(),-1)+1,'บันทึกรายวัน'!$A$4:$A$373,"&lt;="&amp;TODAY())</f>
        <v/>
      </c>
      <c r="F17" s="12">
        <f>SUMIFS('บันทึกรายวัน'!$G$4:$G$373,'บันทึกรายวัน'!$A$4:$A$373,"&lt;="&amp;TODAY())</f>
        <v/>
      </c>
      <c r="G17" s="9" t="inlineStr"/>
    </row>
    <row r="18">
      <c r="A18" s="11" t="inlineStr">
        <is>
          <t>โอน / ปิดดีล (ดีล)</t>
        </is>
      </c>
      <c r="B18" s="12">
        <f>SUMIFS('บันทึกรายวัน'!$H$4:$H$373,'บันทึกรายวัน'!$A$4:$A$373,TODAY())</f>
        <v/>
      </c>
      <c r="C18" s="12">
        <f>SUMIFS('บันทึกรายวัน'!$H$4:$H$373,'บันทึกรายวัน'!$A$4:$A$373,"&gt;="&amp;TODAY()-6,'บันทึกรายวัน'!$A$4:$A$373,"&lt;="&amp;TODAY())</f>
        <v/>
      </c>
      <c r="D18" s="12">
        <f>SUMIFS('บันทึกรายวัน'!$H$4:$H$373,'บันทึกรายวัน'!$A$4:$A$373,"&gt;="&amp;TODAY()-29,'บันทึกรายวัน'!$A$4:$A$373,"&lt;="&amp;TODAY())</f>
        <v/>
      </c>
      <c r="E18" s="12">
        <f>SUMIFS('บันทึกรายวัน'!$H$4:$H$373,'บันทึกรายวัน'!$A$4:$A$373,"&gt;="&amp;EOMONTH(TODAY(),-1)+1,'บันทึกรายวัน'!$A$4:$A$373,"&lt;="&amp;TODAY())</f>
        <v/>
      </c>
      <c r="F18" s="12">
        <f>SUMIFS('บันทึกรายวัน'!$H$4:$H$373,'บันทึกรายวัน'!$A$4:$A$373,"&lt;="&amp;TODAY())</f>
        <v/>
      </c>
      <c r="G18" s="9" t="inlineStr"/>
    </row>
    <row r="19">
      <c r="A19" s="11" t="inlineStr">
        <is>
          <t>รายได้ค่าคอมที่รับจริง (บาท)</t>
        </is>
      </c>
      <c r="B19" s="12">
        <f>SUMIFS('บันทึกรายวัน'!$I$4:$I$373,'บันทึกรายวัน'!$A$4:$A$373,TODAY())</f>
        <v/>
      </c>
      <c r="C19" s="12">
        <f>SUMIFS('บันทึกรายวัน'!$I$4:$I$373,'บันทึกรายวัน'!$A$4:$A$373,"&gt;="&amp;TODAY()-6,'บันทึกรายวัน'!$A$4:$A$373,"&lt;="&amp;TODAY())</f>
        <v/>
      </c>
      <c r="D19" s="12">
        <f>SUMIFS('บันทึกรายวัน'!$I$4:$I$373,'บันทึกรายวัน'!$A$4:$A$373,"&gt;="&amp;TODAY()-29,'บันทึกรายวัน'!$A$4:$A$373,"&lt;="&amp;TODAY())</f>
        <v/>
      </c>
      <c r="E19" s="12">
        <f>SUMIFS('บันทึกรายวัน'!$I$4:$I$373,'บันทึกรายวัน'!$A$4:$A$373,"&gt;="&amp;EOMONTH(TODAY(),-1)+1,'บันทึกรายวัน'!$A$4:$A$373,"&lt;="&amp;TODAY())</f>
        <v/>
      </c>
      <c r="F19" s="12">
        <f>SUMIFS('บันทึกรายวัน'!$I$4:$I$373,'บันทึกรายวัน'!$A$4:$A$373,"&lt;="&amp;TODAY())</f>
        <v/>
      </c>
      <c r="G19" s="9" t="inlineStr"/>
    </row>
    <row r="20">
      <c r="A20" s="11" t="inlineStr">
        <is>
          <t>กำไรสุทธิ (บาท)</t>
        </is>
      </c>
      <c r="B20" s="12">
        <f>SUMIFS('บันทึกรายวัน'!$K$4:$K$373,'บันทึกรายวัน'!$A$4:$A$373,TODAY())</f>
        <v/>
      </c>
      <c r="C20" s="12">
        <f>SUMIFS('บันทึกรายวัน'!$K$4:$K$373,'บันทึกรายวัน'!$A$4:$A$373,"&gt;="&amp;TODAY()-6,'บันทึกรายวัน'!$A$4:$A$373,"&lt;="&amp;TODAY())</f>
        <v/>
      </c>
      <c r="D20" s="12">
        <f>SUMIFS('บันทึกรายวัน'!$K$4:$K$373,'บันทึกรายวัน'!$A$4:$A$373,"&gt;="&amp;TODAY()-29,'บันทึกรายวัน'!$A$4:$A$373,"&lt;="&amp;TODAY())</f>
        <v/>
      </c>
      <c r="E20" s="12">
        <f>SUMIFS('บันทึกรายวัน'!$K$4:$K$373,'บันทึกรายวัน'!$A$4:$A$373,"&gt;="&amp;EOMONTH(TODAY(),-1)+1,'บันทึกรายวัน'!$A$4:$A$373,"&lt;="&amp;TODAY())</f>
        <v/>
      </c>
      <c r="F20" s="12">
        <f>SUMIFS('บันทึกรายวัน'!$K$4:$K$373,'บันทึกรายวัน'!$A$4:$A$373,"&lt;="&amp;TODAY())</f>
        <v/>
      </c>
      <c r="G20" s="9" t="inlineStr">
        <is>
          <t>รายได้ − ค่าโฆษณา − ต้นทุนอื่น</t>
        </is>
      </c>
    </row>
    <row r="21">
      <c r="A21" s="7" t="inlineStr">
        <is>
          <t>CPQL — ค่าโฆษณาต่อ lead คุณภาพ (บาท)</t>
        </is>
      </c>
      <c r="B21" s="12">
        <f>IFERROR(B12/B14,0)</f>
        <v/>
      </c>
      <c r="C21" s="12">
        <f>IFERROR(C12/C14,0)</f>
        <v/>
      </c>
      <c r="D21" s="12">
        <f>IFERROR(D12/D14,0)</f>
        <v/>
      </c>
      <c r="E21" s="12">
        <f>IFERROR(E12/E14,0)</f>
        <v/>
      </c>
      <c r="F21" s="12">
        <f>IFERROR(F12/F14,0)</f>
        <v/>
      </c>
      <c r="G21" s="9" t="inlineStr">
        <is>
          <t>ต้องต่ำกว่าเพดานในแท็บ ตั้งค่า</t>
        </is>
      </c>
    </row>
    <row r="22">
      <c r="A22" s="7" t="inlineStr">
        <is>
          <t>ROAS — รายได้ต่อค่าโฆษณา 1 บาท</t>
        </is>
      </c>
      <c r="B22" s="13">
        <f>IFERROR(B19/B12,0)</f>
        <v/>
      </c>
      <c r="C22" s="13">
        <f>IFERROR(C19/C12,0)</f>
        <v/>
      </c>
      <c r="D22" s="13">
        <f>IFERROR(D19/D12,0)</f>
        <v/>
      </c>
      <c r="E22" s="13">
        <f>IFERROR(E19/E12,0)</f>
        <v/>
      </c>
      <c r="F22" s="13">
        <f>IFERROR(F19/F12,0)</f>
        <v/>
      </c>
      <c r="G22" s="9" t="inlineStr">
        <is>
          <t>≥ 3 เท่า = เพิ่มงบได้ · &lt; 1.5 เท่า = หยุดแก้ก่อน</t>
        </is>
      </c>
    </row>
    <row r="23">
      <c r="A23" s="7" t="inlineStr">
        <is>
          <t>อัตราปิด: lead คุณภาพ ➜ โอน</t>
        </is>
      </c>
      <c r="B23" s="14">
        <f>IFERROR(B18/B14,0)</f>
        <v/>
      </c>
      <c r="C23" s="14">
        <f>IFERROR(C18/C14,0)</f>
        <v/>
      </c>
      <c r="D23" s="14">
        <f>IFERROR(D18/D14,0)</f>
        <v/>
      </c>
      <c r="E23" s="14">
        <f>IFERROR(E18/E14,0)</f>
        <v/>
      </c>
      <c r="F23" s="14">
        <f>IFERROR(F18/F14,0)</f>
        <v/>
      </c>
      <c r="G23" s="9" t="inlineStr">
        <is>
          <t>ตัวเลขจริงของคุณ — เอาไปแก้ในแท็บ ตั้งค่า หลังครบ 30 วัน</t>
        </is>
      </c>
    </row>
    <row r="25" ht="24" customHeight="1">
      <c r="A25" s="5" t="inlineStr">
        <is>
          <t>🔻 ท่อการขาย 30 วันล่าสุด — ตรงไหนรั่วมากที่สุด</t>
        </is>
      </c>
    </row>
    <row r="26">
      <c r="A26" s="11" t="inlineStr">
        <is>
          <t>ทักเข้ามา ➜ lead คุณภาพ</t>
        </is>
      </c>
      <c r="B26" s="15">
        <f>IFERROR(D14/D13,0)</f>
        <v/>
      </c>
      <c r="D26" s="16">
        <f>IF(D13=0,"ยังไม่มีข้อมูล",D14&amp;" จาก "&amp;D13)</f>
        <v/>
      </c>
      <c r="G26" s="17" t="inlineStr">
        <is>
          <t>ต่ำกว่า 25% = คอนเทนต์ดึงคนผิดกลุ่ม</t>
        </is>
      </c>
    </row>
    <row r="27">
      <c r="A27" s="11" t="inlineStr">
        <is>
          <t>lead คุณภาพ ➜ นัดดูบ้าน</t>
        </is>
      </c>
      <c r="B27" s="15">
        <f>IFERROR(D15/D14,0)</f>
        <v/>
      </c>
      <c r="D27" s="16">
        <f>IF(D14=0,"ยังไม่มีข้อมูล",D15&amp;" จาก "&amp;D14)</f>
        <v/>
      </c>
      <c r="G27" s="17" t="inlineStr">
        <is>
          <t>ต่ำกว่า 40% = ตอบช้า หรือคัดกรองไม่ตรงงบลูกค้า</t>
        </is>
      </c>
    </row>
    <row r="28">
      <c r="A28" s="11" t="inlineStr">
        <is>
          <t>นัดดูบ้าน ➜ ยื่นกู้</t>
        </is>
      </c>
      <c r="B28" s="15">
        <f>IFERROR(D16/D15,0)</f>
        <v/>
      </c>
      <c r="D28" s="16">
        <f>IF(D15=0,"ยังไม่มีข้อมูล",D16&amp;" จาก "&amp;D15)</f>
        <v/>
      </c>
      <c r="G28" s="17" t="inlineStr">
        <is>
          <t>ต่ำกว่า 30% = ทรัพย์ไม่ตรงความต้องการ</t>
        </is>
      </c>
    </row>
    <row r="29">
      <c r="A29" s="11" t="inlineStr">
        <is>
          <t>ยื่นกู้ ➜ อนุมัติ</t>
        </is>
      </c>
      <c r="B29" s="15">
        <f>IFERROR(D17/D16,0)</f>
        <v/>
      </c>
      <c r="D29" s="16">
        <f>IF(D16=0,"ยังไม่มีข้อมูล",D17&amp;" จาก "&amp;D16)</f>
        <v/>
      </c>
      <c r="G29" s="17" t="inlineStr">
        <is>
          <t>ต่ำกว่า 50% = ต้องพรีเช็คเครดิตลูกค้าก่อนพาดู</t>
        </is>
      </c>
    </row>
    <row r="30">
      <c r="A30" s="11" t="inlineStr">
        <is>
          <t>อนุมัติ ➜ โอน</t>
        </is>
      </c>
      <c r="B30" s="15">
        <f>IFERROR(D18/D17,0)</f>
        <v/>
      </c>
      <c r="D30" s="16">
        <f>IF(D17=0,"ยังไม่มีข้อมูล",D18&amp;" จาก "&amp;D17)</f>
        <v/>
      </c>
      <c r="G30" s="17" t="inlineStr">
        <is>
          <t>ต่ำกว่า 80% = ปัญหาเอกสาร/ผู้ขาย ต้องตามใกล้ชิด</t>
        </is>
      </c>
    </row>
    <row r="32" ht="24" customHeight="1">
      <c r="A32" s="5" t="inlineStr">
        <is>
          <t>🎯 เป้าหมายเดือนนี้</t>
        </is>
      </c>
    </row>
    <row r="33">
      <c r="A33" s="11" t="inlineStr">
        <is>
          <t>เป้ารายได้ค่าคอมเดือนนี้ (บาท)</t>
        </is>
      </c>
      <c r="B33" s="18">
        <f>'ตั้งค่า'!$C$17</f>
        <v/>
      </c>
      <c r="D33" s="11" t="inlineStr"/>
      <c r="G33" s="17" t="inlineStr"/>
    </row>
    <row r="34">
      <c r="A34" s="11" t="inlineStr">
        <is>
          <t>ทำได้แล้ว (บาท)</t>
        </is>
      </c>
      <c r="B34" s="18">
        <f>E19</f>
        <v/>
      </c>
      <c r="D34" s="11" t="inlineStr"/>
      <c r="G34" s="17" t="inlineStr"/>
    </row>
    <row r="35">
      <c r="A35" s="11" t="inlineStr">
        <is>
          <t>ความคืบหน้า</t>
        </is>
      </c>
      <c r="B35" s="15">
        <f>IFERROR(E19/'ตั้งค่า'!$C$17,0)</f>
        <v/>
      </c>
      <c r="D35" s="11" t="inlineStr"/>
      <c r="G35" s="17" t="inlineStr">
        <is>
          <t>แถบสีเขียวเมื่อถึง 100%</t>
        </is>
      </c>
    </row>
    <row r="36">
      <c r="A36" s="11" t="inlineStr">
        <is>
          <t>ยังขาดอีก (บาท)</t>
        </is>
      </c>
      <c r="B36" s="18">
        <f>MAX(0,'ตั้งค่า'!$C$17-E19)</f>
        <v/>
      </c>
      <c r="D36" s="11" t="inlineStr"/>
      <c r="G36" s="17" t="inlineStr"/>
    </row>
    <row r="37">
      <c r="A37" s="11" t="inlineStr">
        <is>
          <t>เหลืออีกกี่วันในเดือนนี้</t>
        </is>
      </c>
      <c r="B37" s="19">
        <f>EOMONTH(TODAY(),0)-TODAY()</f>
        <v/>
      </c>
      <c r="D37" s="11" t="inlineStr"/>
      <c r="G37" s="17" t="inlineStr"/>
    </row>
    <row r="38">
      <c r="A38" s="11" t="inlineStr">
        <is>
          <t>ต้องหา lead คุณภาพอีก (คน)</t>
        </is>
      </c>
      <c r="B38" s="20">
        <f>MAX(0,ROUND(IFERROR(MAX(0,'ตั้งค่า'!$C$17-E19)/('ตั้งค่า'!$C$8*'ตั้งค่า'!$C$11),0),0))</f>
        <v/>
      </c>
      <c r="D38" s="11" t="inlineStr"/>
      <c r="G38" s="17" t="inlineStr">
        <is>
          <t>คำนวณจากคอมสุทธิต่อดีล x อัตราปิด ในแท็บ ตั้งค่า</t>
        </is>
      </c>
    </row>
    <row r="39">
      <c r="A39" s="11" t="inlineStr">
        <is>
          <t>งบโฆษณาที่ต้องใช้เพื่อปิดช่องว่าง (บาท)</t>
        </is>
      </c>
      <c r="B39" s="18">
        <f>MAX(0,ROUND(IFERROR(MAX(0,'ตั้งค่า'!$C$17-E19)/('ตั้งค่า'!$C$8*'ตั้งค่า'!$C$11),0)*'ตั้งค่า'!$C$12,0))</f>
        <v/>
      </c>
      <c r="D39" s="11" t="inlineStr"/>
      <c r="G39" s="17" t="inlineStr">
        <is>
          <t>ถ้าเกินเงินที่มี = ลดเป้า อย่ากู้มาเติม</t>
        </is>
      </c>
    </row>
    <row r="41" ht="24" customHeight="1">
      <c r="A41" s="5" t="inlineStr">
        <is>
          <t>🛡️ สุขภาพการเงินและพอร์ตลงทุน</t>
        </is>
      </c>
    </row>
    <row r="42">
      <c r="A42" s="11" t="inlineStr">
        <is>
          <t>เงินสำรองฉุกเฉินที่มีตอนนี้ (บาท)</t>
        </is>
      </c>
      <c r="B42" s="18">
        <f>SUMIF('พอร์ตลงทุน'!$A$4:$A$23,0,'พอร์ตลงทุน'!$F$4:$F$23)</f>
        <v/>
      </c>
      <c r="D42" s="11" t="inlineStr"/>
      <c r="G42" s="17">
        <f> ผลรวมชั้น 0 ในแท็บ พอร์ตลงทุน</f>
        <v/>
      </c>
    </row>
    <row r="43">
      <c r="A43" s="11" t="inlineStr">
        <is>
          <t>เงินสำรองฉุกเฉินเป้าหมาย (บาท)</t>
        </is>
      </c>
      <c r="B43" s="18">
        <f>'ตั้งค่า'!$C$31</f>
        <v/>
      </c>
      <c r="D43" s="11" t="inlineStr"/>
      <c r="G43" s="17" t="inlineStr"/>
    </row>
    <row r="44">
      <c r="A44" s="11" t="inlineStr">
        <is>
          <t>เงินสำรองเต็มแล้วกี่ %</t>
        </is>
      </c>
      <c r="B44" s="15">
        <f>IFERROR(SUMIF('พอร์ตลงทุน'!$A$4:$A$23,0,'พอร์ตลงทุน'!$F$4:$F$23)/'ตั้งค่า'!$C$31,0)</f>
        <v/>
      </c>
      <c r="D44" s="11" t="inlineStr"/>
      <c r="G44" s="17" t="inlineStr">
        <is>
          <t>ต้องถึง 100% ก่อนซื้อสินทรัพย์ชั้น 3</t>
        </is>
      </c>
    </row>
    <row r="45">
      <c r="A45" s="11" t="inlineStr">
        <is>
          <t>อยู่ได้กี่เดือนถ้ารายได้เป็นศูนย์</t>
        </is>
      </c>
      <c r="B45" s="21">
        <f>IFERROR(SUMIF('พอร์ตลงทุน'!$A$4:$A$23,0,'พอร์ตลงทุน'!$F$4:$F$23)/('ตั้งค่า'!$C$29+'ตั้งค่า'!$C$10),0)</f>
        <v/>
      </c>
      <c r="D45" s="11" t="inlineStr"/>
      <c r="G45" s="17" t="inlineStr">
        <is>
          <t>ต่ำกว่า 3 เดือน = อันตราย</t>
        </is>
      </c>
    </row>
    <row r="46">
      <c r="A46" s="11" t="inlineStr">
        <is>
          <t>มูลค่าพอร์ตลงทุนปัจจุบัน (บาท)</t>
        </is>
      </c>
      <c r="B46" s="18">
        <f>IFERROR(LOOKUP(2,1/('มูลค่าพอร์ตรายวัน'!$B$4:$B$373&lt;&gt;""),'มูลค่าพอร์ตรายวัน'!$B$4:$B$373),0)</f>
        <v/>
      </c>
      <c r="D46" s="11" t="inlineStr"/>
      <c r="G46" s="17" t="inlineStr">
        <is>
          <t>จากแท็บ มูลค่าพอร์ตรายวัน</t>
        </is>
      </c>
    </row>
    <row r="47">
      <c r="A47" s="11" t="inlineStr">
        <is>
          <t>เงินต้นที่ใส่เข้าพอร์ตสะสม (บาท)</t>
        </is>
      </c>
      <c r="B47" s="18">
        <f>IFERROR(LOOKUP(2,1/('มูลค่าพอร์ตรายวัน'!$B$4:$B$373&lt;&gt;""),'มูลค่าพอร์ตรายวัน'!$D$4:$D$373),0)</f>
        <v/>
      </c>
      <c r="D47" s="11" t="inlineStr"/>
      <c r="G47" s="17" t="inlineStr"/>
    </row>
    <row r="48">
      <c r="A48" s="11" t="inlineStr">
        <is>
          <t>กำไร / ขาดทุนพอร์ต (บาท)</t>
        </is>
      </c>
      <c r="B48" s="18">
        <f>IFERROR(LOOKUP(2,1/('มูลค่าพอร์ตรายวัน'!$B$4:$B$373&lt;&gt;""),'มูลค่าพอร์ตรายวัน'!$B$4:$B$373),0)-IFERROR(LOOKUP(2,1/('มูลค่าพอร์ตรายวัน'!$B$4:$B$373&lt;&gt;""),'มูลค่าพอร์ตรายวัน'!$D$4:$D$373),0)</f>
        <v/>
      </c>
      <c r="D48" s="11" t="inlineStr"/>
      <c r="G48" s="17" t="inlineStr"/>
    </row>
    <row r="49">
      <c r="A49" s="11" t="inlineStr">
        <is>
          <t>กำไร / ขาดทุนพอร์ต (%)</t>
        </is>
      </c>
      <c r="B49" s="15">
        <f>IFERROR((IFERROR(LOOKUP(2,1/('มูลค่าพอร์ตรายวัน'!$B$4:$B$373&lt;&gt;""),'มูลค่าพอร์ตรายวัน'!$B$4:$B$373),0)-IFERROR(LOOKUP(2,1/('มูลค่าพอร์ตรายวัน'!$B$4:$B$373&lt;&gt;""),'มูลค่าพอร์ตรายวัน'!$D$4:$D$373),0))/IFERROR(LOOKUP(2,1/('มูลค่าพอร์ตรายวัน'!$B$4:$B$373&lt;&gt;""),'มูลค่าพอร์ตรายวัน'!$D$4:$D$373),0),0)</f>
        <v/>
      </c>
      <c r="D49" s="11" t="inlineStr"/>
      <c r="G49" s="17" t="inlineStr"/>
    </row>
    <row r="50">
      <c r="A50" s="11" t="inlineStr">
        <is>
          <t>Drawdown จากจุดสูงสุด</t>
        </is>
      </c>
      <c r="B50" s="15">
        <f>IFERROR(LOOKUP(2,1/('มูลค่าพอร์ตรายวัน'!$B$4:$B$373&lt;&gt;""),'มูลค่าพอร์ตรายวัน'!$G$4:$G$373),0)</f>
        <v/>
      </c>
      <c r="D50" s="11" t="inlineStr"/>
      <c r="G50" s="17" t="inlineStr">
        <is>
          <t>ติดลบเกิน 20% ถือเป็นเรื่องปกติของชั้น 3 — ห้ามขาย ให้ซื้อต่อตามแผน</t>
        </is>
      </c>
    </row>
    <row r="51">
      <c r="A51" s="11" t="inlineStr">
        <is>
          <t>ควรโอนเข้าพอร์ตเดือนนี้ (บาท)</t>
        </is>
      </c>
      <c r="B51" s="18">
        <f>ROUND(E19*'ตั้งค่า'!$C$36,0)</f>
        <v/>
      </c>
      <c r="D51" s="11" t="inlineStr"/>
      <c r="G51" s="17" t="inlineStr">
        <is>
          <t>โอนวันที่ 1 และ 16 ครั้งละครึ่ง</t>
        </is>
      </c>
    </row>
    <row r="52">
      <c r="A52" s="11" t="inlineStr">
        <is>
          <t>ประมาณการมูลค่าพอร์ตอีก 12 เดือน (บาท)</t>
        </is>
      </c>
      <c r="B52" s="18">
        <f>ROUND(IFERROR(LOOKUP(2,1/('มูลค่าพอร์ตรายวัน'!$B$4:$B$373&lt;&gt;""),'มูลค่าพอร์ตรายวัน'!$B$4:$B$373),0)*(1+'ตั้งค่า'!$C$49)+('ตั้งค่า'!$C$23*'ตั้งค่า'!$C$36)*12*(1+'ตั้งค่า'!$C$49/2),0)</f>
        <v/>
      </c>
      <c r="D52" s="11" t="inlineStr"/>
      <c r="G52" s="17" t="inlineStr">
        <is>
          <t>ประมาณการจากสมมติฐาน ไม่ใช่คำรับประกัน</t>
        </is>
      </c>
    </row>
  </sheetData>
  <mergeCells count="56">
    <mergeCell ref="A32:G32"/>
    <mergeCell ref="B47:C47"/>
    <mergeCell ref="B7:F7"/>
    <mergeCell ref="D27:F27"/>
    <mergeCell ref="A4:G4"/>
    <mergeCell ref="B46:C46"/>
    <mergeCell ref="D48:F48"/>
    <mergeCell ref="D52:F52"/>
    <mergeCell ref="B27:C27"/>
    <mergeCell ref="D47:F47"/>
    <mergeCell ref="A10:G10"/>
    <mergeCell ref="B43:C43"/>
    <mergeCell ref="D43:F43"/>
    <mergeCell ref="B39:C39"/>
    <mergeCell ref="B52:C52"/>
    <mergeCell ref="D28:F28"/>
    <mergeCell ref="B48:C48"/>
    <mergeCell ref="D37:F37"/>
    <mergeCell ref="B42:C42"/>
    <mergeCell ref="B8:F8"/>
    <mergeCell ref="D30:F30"/>
    <mergeCell ref="D39:F39"/>
    <mergeCell ref="D33:F33"/>
    <mergeCell ref="D42:F42"/>
    <mergeCell ref="D51:F51"/>
    <mergeCell ref="D38:F38"/>
    <mergeCell ref="B38:C38"/>
    <mergeCell ref="B44:C44"/>
    <mergeCell ref="A1:G1"/>
    <mergeCell ref="B29:C29"/>
    <mergeCell ref="D29:F29"/>
    <mergeCell ref="B34:C34"/>
    <mergeCell ref="B37:C37"/>
    <mergeCell ref="B28:C28"/>
    <mergeCell ref="D35:F35"/>
    <mergeCell ref="D50:F50"/>
    <mergeCell ref="D26:F26"/>
    <mergeCell ref="D44:F44"/>
    <mergeCell ref="A25:G25"/>
    <mergeCell ref="A41:G41"/>
    <mergeCell ref="B49:C49"/>
    <mergeCell ref="D34:F34"/>
    <mergeCell ref="B30:C30"/>
    <mergeCell ref="B6:F6"/>
    <mergeCell ref="B33:C33"/>
    <mergeCell ref="B51:C51"/>
    <mergeCell ref="D46:F46"/>
    <mergeCell ref="B45:C45"/>
    <mergeCell ref="D36:F36"/>
    <mergeCell ref="B36:C36"/>
    <mergeCell ref="A2:G2"/>
    <mergeCell ref="D45:F45"/>
    <mergeCell ref="B50:C50"/>
    <mergeCell ref="B26:C26"/>
    <mergeCell ref="B35:C35"/>
    <mergeCell ref="D49:F49"/>
  </mergeCells>
  <conditionalFormatting sqref="B22:F22">
    <cfRule type="cellIs" priority="1" operator="greaterThanOrEqual" dxfId="0">
      <formula>3</formula>
    </cfRule>
    <cfRule type="cellIs" priority="2" operator="between" dxfId="1">
      <formula>0.0001</formula>
      <formula>1.5</formula>
    </cfRule>
  </conditionalFormatting>
  <conditionalFormatting sqref="B35:C35">
    <cfRule type="cellIs" priority="3" operator="greaterThanOrEqual" dxfId="0">
      <formula>1</formula>
    </cfRule>
  </conditionalFormatting>
  <conditionalFormatting sqref="B44:C44">
    <cfRule type="cellIs" priority="4" operator="greaterThanOrEqual" dxfId="0">
      <formula>1</formula>
    </cfRule>
    <cfRule type="cellIs" priority="5" operator="lessThan" dxfId="1">
      <formula>0.5</formula>
    </cfRule>
  </conditionalFormatting>
  <conditionalFormatting sqref="B45:C45">
    <cfRule type="cellIs" priority="6" operator="greaterThanOrEqual" dxfId="0">
      <formula>6</formula>
    </cfRule>
    <cfRule type="cellIs" priority="7" operator="lessThan" dxfId="1">
      <formula>3</formula>
    </cfRule>
  </conditionalFormatting>
  <pageMargins left="0.75" right="0.75" top="1" bottom="1" header="0.5" footer="0.5"/>
</worksheet>
</file>

<file path=xl/worksheets/sheet3.xml><?xml version="1.0" encoding="utf-8"?>
<worksheet xmlns="http://schemas.openxmlformats.org/spreadsheetml/2006/main">
  <sheetPr>
    <tabColor rgb="000EA5E9"/>
    <outlinePr summaryBelow="1" summaryRight="1"/>
    <pageSetUpPr/>
  </sheetPr>
  <dimension ref="A1:S373"/>
  <sheetViews>
    <sheetView showGridLines="1"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0" customWidth="1" min="3" max="3"/>
    <col width="11" customWidth="1" min="4" max="4"/>
    <col width="10" customWidth="1" min="5" max="5"/>
    <col width="9" customWidth="1" min="6" max="6"/>
    <col width="10" customWidth="1" min="7" max="7"/>
    <col width="9" customWidth="1" min="8" max="8"/>
    <col width="13" customWidth="1" min="9" max="9"/>
    <col width="11" customWidth="1" min="10" max="10"/>
    <col width="13" customWidth="1" min="11" max="11"/>
    <col width="10" customWidth="1" min="12" max="12"/>
    <col width="11" customWidth="1" min="13" max="13"/>
    <col width="13" customWidth="1" min="14" max="14"/>
    <col width="16" customWidth="1" min="15" max="15"/>
    <col width="30" customWidth="1" min="16" max="16"/>
    <col width="24" customWidth="1" min="18" max="18"/>
    <col width="12" customWidth="1" min="19" max="19"/>
  </cols>
  <sheetData>
    <row r="1" ht="34" customHeight="1">
      <c r="A1" s="1" t="inlineStr">
        <is>
          <t>📅 บันทึกรายวัน — กรอกแค่ช่องสีเหลือง 3 นาที/วัน</t>
        </is>
      </c>
    </row>
    <row r="2" ht="30" customHeight="1">
      <c r="A2" s="2" t="inlineStr">
        <is>
          <t>แถวของวันนี้จะไฮไลต์สีส้มอัตโนมัติ · ช่องสีเทาคือสูตร ห้ามพิมพ์ทับ · ตัวอย่าง 1 วัน: ค่าโฆษณา 500 | ทักใหม่ 6 | lead คุณภาพ 2 | นัดดู 1 | ยื่นกู้ 0 | อนุมัติ 0 | โอน 0 | รายได้ 0</t>
        </is>
      </c>
    </row>
    <row r="3" ht="32" customHeight="1">
      <c r="A3" s="22" t="inlineStr">
        <is>
          <t>วันที่</t>
        </is>
      </c>
      <c r="B3" s="22" t="inlineStr">
        <is>
          <t>ค่าโฆษณา
(บาท)</t>
        </is>
      </c>
      <c r="C3" s="22" t="inlineStr">
        <is>
          <t>ทักใหม่
(คน)</t>
        </is>
      </c>
      <c r="D3" s="22" t="inlineStr">
        <is>
          <t>lead คุณภาพ
(คน)</t>
        </is>
      </c>
      <c r="E3" s="22" t="inlineStr">
        <is>
          <t>นัดดูบ้าน
(ครั้ง)</t>
        </is>
      </c>
      <c r="F3" s="22" t="inlineStr">
        <is>
          <t>ยื่นกู้
(ราย)</t>
        </is>
      </c>
      <c r="G3" s="22" t="inlineStr">
        <is>
          <t>อนุมัติกู้
(ราย)</t>
        </is>
      </c>
      <c r="H3" s="22" t="inlineStr">
        <is>
          <t>โอน/ปิดดีล
(ดีล)</t>
        </is>
      </c>
      <c r="I3" s="22" t="inlineStr">
        <is>
          <t>รายได้รับจริง
(บาท)</t>
        </is>
      </c>
      <c r="J3" s="22" t="inlineStr">
        <is>
          <t>ต้นทุนอื่น
(บาท)</t>
        </is>
      </c>
      <c r="K3" s="22" t="inlineStr">
        <is>
          <t>กำไรวันนี้
(บาท)</t>
        </is>
      </c>
      <c r="L3" s="22" t="inlineStr">
        <is>
          <t>CPL
(บาท/ทัก)</t>
        </is>
      </c>
      <c r="M3" s="22" t="inlineStr">
        <is>
          <t>CPQL
(บาท/lead)</t>
        </is>
      </c>
      <c r="N3" s="22" t="inlineStr">
        <is>
          <t>ควรโอนเข้าพอร์ต
(บาท)</t>
        </is>
      </c>
      <c r="O3" s="22" t="inlineStr">
        <is>
          <t>สถานะวินัย</t>
        </is>
      </c>
      <c r="P3" s="22" t="inlineStr">
        <is>
          <t>หมายเหตุ / บทเรียนวันนี้</t>
        </is>
      </c>
      <c r="R3" s="6" t="inlineStr">
        <is>
          <t>ค่าอ้างอิงอัตโนมัติ — อย่าลบ</t>
        </is>
      </c>
      <c r="S3" s="10" t="inlineStr">
        <is>
          <t>ค่า</t>
        </is>
      </c>
    </row>
    <row r="4">
      <c r="A4" s="23" t="n">
        <v>46260</v>
      </c>
      <c r="B4" s="24" t="n"/>
      <c r="C4" s="24" t="n"/>
      <c r="D4" s="24" t="n"/>
      <c r="E4" s="24" t="n"/>
      <c r="F4" s="24" t="n"/>
      <c r="G4" s="24" t="n"/>
      <c r="H4" s="24" t="n"/>
      <c r="I4" s="24" t="n"/>
      <c r="J4" s="24" t="n"/>
      <c r="K4" s="12">
        <f>I4-B4-J4</f>
        <v/>
      </c>
      <c r="L4" s="12">
        <f>IFERROR(B4/C4,"")</f>
        <v/>
      </c>
      <c r="M4" s="12">
        <f>IFERROR(B4/D4,"")</f>
        <v/>
      </c>
      <c r="N4" s="12">
        <f>ROUND(I4*$S$6,0)</f>
        <v/>
      </c>
      <c r="O4" s="25">
        <f>IF(A4&gt;TODAY(),"—",IF(SUM(B4:J4)=0,"⬜ ยังไม่บันทึก",IF(AND(D4&gt;=$S$4,IFERROR(B4/D4,0)&lt;=$S$5),"✅ ผ่าน","⚠️ ต้องปรับ")))</f>
        <v/>
      </c>
      <c r="P4" s="26" t="n"/>
      <c r="R4" s="27" t="inlineStr">
        <is>
          <t>เป้า lead คุณภาพ/วัน</t>
        </is>
      </c>
      <c r="S4" s="28">
        <f>'ตั้งค่า'!$C$20</f>
        <v/>
      </c>
    </row>
    <row r="5">
      <c r="A5" s="23" t="n">
        <v>46261</v>
      </c>
      <c r="B5" s="24" t="n"/>
      <c r="C5" s="24" t="n"/>
      <c r="D5" s="24" t="n"/>
      <c r="E5" s="24" t="n"/>
      <c r="F5" s="24" t="n"/>
      <c r="G5" s="24" t="n"/>
      <c r="H5" s="24" t="n"/>
      <c r="I5" s="24" t="n"/>
      <c r="J5" s="24" t="n"/>
      <c r="K5" s="12">
        <f>I5-B5-J5</f>
        <v/>
      </c>
      <c r="L5" s="12">
        <f>IFERROR(B5/C5,"")</f>
        <v/>
      </c>
      <c r="M5" s="12">
        <f>IFERROR(B5/D5,"")</f>
        <v/>
      </c>
      <c r="N5" s="12">
        <f>ROUND(I5*$S$6,0)</f>
        <v/>
      </c>
      <c r="O5" s="25">
        <f>IF(A5&gt;TODAY(),"—",IF(SUM(B5:J5)=0,"⬜ ยังไม่บันทึก",IF(AND(D5&gt;=$S$4,IFERROR(B5/D5,0)&lt;=$S$5),"✅ ผ่าน","⚠️ ต้องปรับ")))</f>
        <v/>
      </c>
      <c r="P5" s="26" t="n"/>
      <c r="R5" s="27" t="inlineStr">
        <is>
          <t>เพดาน CPQL (บาท)</t>
        </is>
      </c>
      <c r="S5" s="29">
        <f>'ตั้งค่า'!$C$14</f>
        <v/>
      </c>
    </row>
    <row r="6">
      <c r="A6" s="23" t="n">
        <v>46262</v>
      </c>
      <c r="B6" s="24" t="n"/>
      <c r="C6" s="24" t="n"/>
      <c r="D6" s="24" t="n"/>
      <c r="E6" s="24" t="n"/>
      <c r="F6" s="24" t="n"/>
      <c r="G6" s="24" t="n"/>
      <c r="H6" s="24" t="n"/>
      <c r="I6" s="24" t="n"/>
      <c r="J6" s="24" t="n"/>
      <c r="K6" s="12">
        <f>I6-B6-J6</f>
        <v/>
      </c>
      <c r="L6" s="12">
        <f>IFERROR(B6/C6,"")</f>
        <v/>
      </c>
      <c r="M6" s="12">
        <f>IFERROR(B6/D6,"")</f>
        <v/>
      </c>
      <c r="N6" s="12">
        <f>ROUND(I6*$S$6,0)</f>
        <v/>
      </c>
      <c r="O6" s="25">
        <f>IF(A6&gt;TODAY(),"—",IF(SUM(B6:J6)=0,"⬜ ยังไม่บันทึก",IF(AND(D6&gt;=$S$4,IFERROR(B6/D6,0)&lt;=$S$5),"✅ ผ่าน","⚠️ ต้องปรับ")))</f>
        <v/>
      </c>
      <c r="P6" s="26" t="n"/>
      <c r="R6" s="27" t="inlineStr">
        <is>
          <t>% กำไรเข้าพอร์ต</t>
        </is>
      </c>
      <c r="S6" s="30">
        <f>'ตั้งค่า'!$C$36</f>
        <v/>
      </c>
    </row>
    <row r="7">
      <c r="A7" s="23" t="n">
        <v>46263</v>
      </c>
      <c r="B7" s="24" t="n"/>
      <c r="C7" s="24" t="n"/>
      <c r="D7" s="24" t="n"/>
      <c r="E7" s="24" t="n"/>
      <c r="F7" s="24" t="n"/>
      <c r="G7" s="24" t="n"/>
      <c r="H7" s="24" t="n"/>
      <c r="I7" s="24" t="n"/>
      <c r="J7" s="24" t="n"/>
      <c r="K7" s="12">
        <f>I7-B7-J7</f>
        <v/>
      </c>
      <c r="L7" s="12">
        <f>IFERROR(B7/C7,"")</f>
        <v/>
      </c>
      <c r="M7" s="12">
        <f>IFERROR(B7/D7,"")</f>
        <v/>
      </c>
      <c r="N7" s="12">
        <f>ROUND(I7*$S$6,0)</f>
        <v/>
      </c>
      <c r="O7" s="25">
        <f>IF(A7&gt;TODAY(),"—",IF(SUM(B7:J7)=0,"⬜ ยังไม่บันทึก",IF(AND(D7&gt;=$S$4,IFERROR(B7/D7,0)&lt;=$S$5),"✅ ผ่าน","⚠️ ต้องปรับ")))</f>
        <v/>
      </c>
      <c r="P7" s="26" t="n"/>
    </row>
    <row r="8">
      <c r="A8" s="23" t="n">
        <v>46264</v>
      </c>
      <c r="B8" s="24" t="n"/>
      <c r="C8" s="24" t="n"/>
      <c r="D8" s="24" t="n"/>
      <c r="E8" s="24" t="n"/>
      <c r="F8" s="24" t="n"/>
      <c r="G8" s="24" t="n"/>
      <c r="H8" s="24" t="n"/>
      <c r="I8" s="24" t="n"/>
      <c r="J8" s="24" t="n"/>
      <c r="K8" s="12">
        <f>I8-B8-J8</f>
        <v/>
      </c>
      <c r="L8" s="12">
        <f>IFERROR(B8/C8,"")</f>
        <v/>
      </c>
      <c r="M8" s="12">
        <f>IFERROR(B8/D8,"")</f>
        <v/>
      </c>
      <c r="N8" s="12">
        <f>ROUND(I8*$S$6,0)</f>
        <v/>
      </c>
      <c r="O8" s="25">
        <f>IF(A8&gt;TODAY(),"—",IF(SUM(B8:J8)=0,"⬜ ยังไม่บันทึก",IF(AND(D8&gt;=$S$4,IFERROR(B8/D8,0)&lt;=$S$5),"✅ ผ่าน","⚠️ ต้องปรับ")))</f>
        <v/>
      </c>
      <c r="P8" s="26" t="n"/>
    </row>
    <row r="9">
      <c r="A9" s="23" t="n">
        <v>46265</v>
      </c>
      <c r="B9" s="24" t="n"/>
      <c r="C9" s="24" t="n"/>
      <c r="D9" s="24" t="n"/>
      <c r="E9" s="24" t="n"/>
      <c r="F9" s="24" t="n"/>
      <c r="G9" s="24" t="n"/>
      <c r="H9" s="24" t="n"/>
      <c r="I9" s="24" t="n"/>
      <c r="J9" s="24" t="n"/>
      <c r="K9" s="12">
        <f>I9-B9-J9</f>
        <v/>
      </c>
      <c r="L9" s="12">
        <f>IFERROR(B9/C9,"")</f>
        <v/>
      </c>
      <c r="M9" s="12">
        <f>IFERROR(B9/D9,"")</f>
        <v/>
      </c>
      <c r="N9" s="12">
        <f>ROUND(I9*$S$6,0)</f>
        <v/>
      </c>
      <c r="O9" s="25">
        <f>IF(A9&gt;TODAY(),"—",IF(SUM(B9:J9)=0,"⬜ ยังไม่บันทึก",IF(AND(D9&gt;=$S$4,IFERROR(B9/D9,0)&lt;=$S$5),"✅ ผ่าน","⚠️ ต้องปรับ")))</f>
        <v/>
      </c>
      <c r="P9" s="26" t="n"/>
    </row>
    <row r="10">
      <c r="A10" s="31" t="n">
        <v>46266</v>
      </c>
      <c r="B10" s="24" t="n"/>
      <c r="C10" s="24" t="n"/>
      <c r="D10" s="24" t="n"/>
      <c r="E10" s="24" t="n"/>
      <c r="F10" s="24" t="n"/>
      <c r="G10" s="24" t="n"/>
      <c r="H10" s="24" t="n"/>
      <c r="I10" s="24" t="n"/>
      <c r="J10" s="24" t="n"/>
      <c r="K10" s="12">
        <f>I10-B10-J10</f>
        <v/>
      </c>
      <c r="L10" s="12">
        <f>IFERROR(B10/C10,"")</f>
        <v/>
      </c>
      <c r="M10" s="12">
        <f>IFERROR(B10/D10,"")</f>
        <v/>
      </c>
      <c r="N10" s="12">
        <f>ROUND(I10*$S$6,0)</f>
        <v/>
      </c>
      <c r="O10" s="25">
        <f>IF(A10&gt;TODAY(),"—",IF(SUM(B10:J10)=0,"⬜ ยังไม่บันทึก",IF(AND(D10&gt;=$S$4,IFERROR(B10/D10,0)&lt;=$S$5),"✅ ผ่าน","⚠️ ต้องปรับ")))</f>
        <v/>
      </c>
      <c r="P10" s="26" t="n"/>
    </row>
    <row r="11">
      <c r="A11" s="23" t="n">
        <v>46267</v>
      </c>
      <c r="B11" s="24" t="n"/>
      <c r="C11" s="24" t="n"/>
      <c r="D11" s="24" t="n"/>
      <c r="E11" s="24" t="n"/>
      <c r="F11" s="24" t="n"/>
      <c r="G11" s="24" t="n"/>
      <c r="H11" s="24" t="n"/>
      <c r="I11" s="24" t="n"/>
      <c r="J11" s="24" t="n"/>
      <c r="K11" s="12">
        <f>I11-B11-J11</f>
        <v/>
      </c>
      <c r="L11" s="12">
        <f>IFERROR(B11/C11,"")</f>
        <v/>
      </c>
      <c r="M11" s="12">
        <f>IFERROR(B11/D11,"")</f>
        <v/>
      </c>
      <c r="N11" s="12">
        <f>ROUND(I11*$S$6,0)</f>
        <v/>
      </c>
      <c r="O11" s="25">
        <f>IF(A11&gt;TODAY(),"—",IF(SUM(B11:J11)=0,"⬜ ยังไม่บันทึก",IF(AND(D11&gt;=$S$4,IFERROR(B11/D11,0)&lt;=$S$5),"✅ ผ่าน","⚠️ ต้องปรับ")))</f>
        <v/>
      </c>
      <c r="P11" s="26" t="n"/>
    </row>
    <row r="12">
      <c r="A12" s="23" t="n">
        <v>46268</v>
      </c>
      <c r="B12" s="24" t="n"/>
      <c r="C12" s="24" t="n"/>
      <c r="D12" s="24" t="n"/>
      <c r="E12" s="24" t="n"/>
      <c r="F12" s="24" t="n"/>
      <c r="G12" s="24" t="n"/>
      <c r="H12" s="24" t="n"/>
      <c r="I12" s="24" t="n"/>
      <c r="J12" s="24" t="n"/>
      <c r="K12" s="12">
        <f>I12-B12-J12</f>
        <v/>
      </c>
      <c r="L12" s="12">
        <f>IFERROR(B12/C12,"")</f>
        <v/>
      </c>
      <c r="M12" s="12">
        <f>IFERROR(B12/D12,"")</f>
        <v/>
      </c>
      <c r="N12" s="12">
        <f>ROUND(I12*$S$6,0)</f>
        <v/>
      </c>
      <c r="O12" s="25">
        <f>IF(A12&gt;TODAY(),"—",IF(SUM(B12:J12)=0,"⬜ ยังไม่บันทึก",IF(AND(D12&gt;=$S$4,IFERROR(B12/D12,0)&lt;=$S$5),"✅ ผ่าน","⚠️ ต้องปรับ")))</f>
        <v/>
      </c>
      <c r="P12" s="26" t="n"/>
    </row>
    <row r="13">
      <c r="A13" s="23" t="n">
        <v>46269</v>
      </c>
      <c r="B13" s="24" t="n"/>
      <c r="C13" s="24" t="n"/>
      <c r="D13" s="24" t="n"/>
      <c r="E13" s="24" t="n"/>
      <c r="F13" s="24" t="n"/>
      <c r="G13" s="24" t="n"/>
      <c r="H13" s="24" t="n"/>
      <c r="I13" s="24" t="n"/>
      <c r="J13" s="24" t="n"/>
      <c r="K13" s="12">
        <f>I13-B13-J13</f>
        <v/>
      </c>
      <c r="L13" s="12">
        <f>IFERROR(B13/C13,"")</f>
        <v/>
      </c>
      <c r="M13" s="12">
        <f>IFERROR(B13/D13,"")</f>
        <v/>
      </c>
      <c r="N13" s="12">
        <f>ROUND(I13*$S$6,0)</f>
        <v/>
      </c>
      <c r="O13" s="25">
        <f>IF(A13&gt;TODAY(),"—",IF(SUM(B13:J13)=0,"⬜ ยังไม่บันทึก",IF(AND(D13&gt;=$S$4,IFERROR(B13/D13,0)&lt;=$S$5),"✅ ผ่าน","⚠️ ต้องปรับ")))</f>
        <v/>
      </c>
      <c r="P13" s="26" t="n"/>
    </row>
    <row r="14">
      <c r="A14" s="23" t="n">
        <v>46270</v>
      </c>
      <c r="B14" s="24" t="n"/>
      <c r="C14" s="24" t="n"/>
      <c r="D14" s="24" t="n"/>
      <c r="E14" s="24" t="n"/>
      <c r="F14" s="24" t="n"/>
      <c r="G14" s="24" t="n"/>
      <c r="H14" s="24" t="n"/>
      <c r="I14" s="24" t="n"/>
      <c r="J14" s="24" t="n"/>
      <c r="K14" s="12">
        <f>I14-B14-J14</f>
        <v/>
      </c>
      <c r="L14" s="12">
        <f>IFERROR(B14/C14,"")</f>
        <v/>
      </c>
      <c r="M14" s="12">
        <f>IFERROR(B14/D14,"")</f>
        <v/>
      </c>
      <c r="N14" s="12">
        <f>ROUND(I14*$S$6,0)</f>
        <v/>
      </c>
      <c r="O14" s="25">
        <f>IF(A14&gt;TODAY(),"—",IF(SUM(B14:J14)=0,"⬜ ยังไม่บันทึก",IF(AND(D14&gt;=$S$4,IFERROR(B14/D14,0)&lt;=$S$5),"✅ ผ่าน","⚠️ ต้องปรับ")))</f>
        <v/>
      </c>
      <c r="P14" s="26" t="n"/>
    </row>
    <row r="15">
      <c r="A15" s="23" t="n">
        <v>46271</v>
      </c>
      <c r="B15" s="24" t="n"/>
      <c r="C15" s="24" t="n"/>
      <c r="D15" s="24" t="n"/>
      <c r="E15" s="24" t="n"/>
      <c r="F15" s="24" t="n"/>
      <c r="G15" s="24" t="n"/>
      <c r="H15" s="24" t="n"/>
      <c r="I15" s="24" t="n"/>
      <c r="J15" s="24" t="n"/>
      <c r="K15" s="12">
        <f>I15-B15-J15</f>
        <v/>
      </c>
      <c r="L15" s="12">
        <f>IFERROR(B15/C15,"")</f>
        <v/>
      </c>
      <c r="M15" s="12">
        <f>IFERROR(B15/D15,"")</f>
        <v/>
      </c>
      <c r="N15" s="12">
        <f>ROUND(I15*$S$6,0)</f>
        <v/>
      </c>
      <c r="O15" s="25">
        <f>IF(A15&gt;TODAY(),"—",IF(SUM(B15:J15)=0,"⬜ ยังไม่บันทึก",IF(AND(D15&gt;=$S$4,IFERROR(B15/D15,0)&lt;=$S$5),"✅ ผ่าน","⚠️ ต้องปรับ")))</f>
        <v/>
      </c>
      <c r="P15" s="26" t="n"/>
    </row>
    <row r="16">
      <c r="A16" s="23" t="n">
        <v>46272</v>
      </c>
      <c r="B16" s="24" t="n"/>
      <c r="C16" s="24" t="n"/>
      <c r="D16" s="24" t="n"/>
      <c r="E16" s="24" t="n"/>
      <c r="F16" s="24" t="n"/>
      <c r="G16" s="24" t="n"/>
      <c r="H16" s="24" t="n"/>
      <c r="I16" s="24" t="n"/>
      <c r="J16" s="24" t="n"/>
      <c r="K16" s="12">
        <f>I16-B16-J16</f>
        <v/>
      </c>
      <c r="L16" s="12">
        <f>IFERROR(B16/C16,"")</f>
        <v/>
      </c>
      <c r="M16" s="12">
        <f>IFERROR(B16/D16,"")</f>
        <v/>
      </c>
      <c r="N16" s="12">
        <f>ROUND(I16*$S$6,0)</f>
        <v/>
      </c>
      <c r="O16" s="25">
        <f>IF(A16&gt;TODAY(),"—",IF(SUM(B16:J16)=0,"⬜ ยังไม่บันทึก",IF(AND(D16&gt;=$S$4,IFERROR(B16/D16,0)&lt;=$S$5),"✅ ผ่าน","⚠️ ต้องปรับ")))</f>
        <v/>
      </c>
      <c r="P16" s="26" t="n"/>
    </row>
    <row r="17">
      <c r="A17" s="23" t="n">
        <v>46273</v>
      </c>
      <c r="B17" s="24" t="n"/>
      <c r="C17" s="24" t="n"/>
      <c r="D17" s="24" t="n"/>
      <c r="E17" s="24" t="n"/>
      <c r="F17" s="24" t="n"/>
      <c r="G17" s="24" t="n"/>
      <c r="H17" s="24" t="n"/>
      <c r="I17" s="24" t="n"/>
      <c r="J17" s="24" t="n"/>
      <c r="K17" s="12">
        <f>I17-B17-J17</f>
        <v/>
      </c>
      <c r="L17" s="12">
        <f>IFERROR(B17/C17,"")</f>
        <v/>
      </c>
      <c r="M17" s="12">
        <f>IFERROR(B17/D17,"")</f>
        <v/>
      </c>
      <c r="N17" s="12">
        <f>ROUND(I17*$S$6,0)</f>
        <v/>
      </c>
      <c r="O17" s="25">
        <f>IF(A17&gt;TODAY(),"—",IF(SUM(B17:J17)=0,"⬜ ยังไม่บันทึก",IF(AND(D17&gt;=$S$4,IFERROR(B17/D17,0)&lt;=$S$5),"✅ ผ่าน","⚠️ ต้องปรับ")))</f>
        <v/>
      </c>
      <c r="P17" s="26" t="n"/>
    </row>
    <row r="18">
      <c r="A18" s="23" t="n">
        <v>46274</v>
      </c>
      <c r="B18" s="24" t="n"/>
      <c r="C18" s="24" t="n"/>
      <c r="D18" s="24" t="n"/>
      <c r="E18" s="24" t="n"/>
      <c r="F18" s="24" t="n"/>
      <c r="G18" s="24" t="n"/>
      <c r="H18" s="24" t="n"/>
      <c r="I18" s="24" t="n"/>
      <c r="J18" s="24" t="n"/>
      <c r="K18" s="12">
        <f>I18-B18-J18</f>
        <v/>
      </c>
      <c r="L18" s="12">
        <f>IFERROR(B18/C18,"")</f>
        <v/>
      </c>
      <c r="M18" s="12">
        <f>IFERROR(B18/D18,"")</f>
        <v/>
      </c>
      <c r="N18" s="12">
        <f>ROUND(I18*$S$6,0)</f>
        <v/>
      </c>
      <c r="O18" s="25">
        <f>IF(A18&gt;TODAY(),"—",IF(SUM(B18:J18)=0,"⬜ ยังไม่บันทึก",IF(AND(D18&gt;=$S$4,IFERROR(B18/D18,0)&lt;=$S$5),"✅ ผ่าน","⚠️ ต้องปรับ")))</f>
        <v/>
      </c>
      <c r="P18" s="26" t="n"/>
    </row>
    <row r="19">
      <c r="A19" s="23" t="n">
        <v>46275</v>
      </c>
      <c r="B19" s="24" t="n"/>
      <c r="C19" s="24" t="n"/>
      <c r="D19" s="24" t="n"/>
      <c r="E19" s="24" t="n"/>
      <c r="F19" s="24" t="n"/>
      <c r="G19" s="24" t="n"/>
      <c r="H19" s="24" t="n"/>
      <c r="I19" s="24" t="n"/>
      <c r="J19" s="24" t="n"/>
      <c r="K19" s="12">
        <f>I19-B19-J19</f>
        <v/>
      </c>
      <c r="L19" s="12">
        <f>IFERROR(B19/C19,"")</f>
        <v/>
      </c>
      <c r="M19" s="12">
        <f>IFERROR(B19/D19,"")</f>
        <v/>
      </c>
      <c r="N19" s="12">
        <f>ROUND(I19*$S$6,0)</f>
        <v/>
      </c>
      <c r="O19" s="25">
        <f>IF(A19&gt;TODAY(),"—",IF(SUM(B19:J19)=0,"⬜ ยังไม่บันทึก",IF(AND(D19&gt;=$S$4,IFERROR(B19/D19,0)&lt;=$S$5),"✅ ผ่าน","⚠️ ต้องปรับ")))</f>
        <v/>
      </c>
      <c r="P19" s="26" t="n"/>
    </row>
    <row r="20">
      <c r="A20" s="23" t="n">
        <v>46276</v>
      </c>
      <c r="B20" s="24" t="n"/>
      <c r="C20" s="24" t="n"/>
      <c r="D20" s="24" t="n"/>
      <c r="E20" s="24" t="n"/>
      <c r="F20" s="24" t="n"/>
      <c r="G20" s="24" t="n"/>
      <c r="H20" s="24" t="n"/>
      <c r="I20" s="24" t="n"/>
      <c r="J20" s="24" t="n"/>
      <c r="K20" s="12">
        <f>I20-B20-J20</f>
        <v/>
      </c>
      <c r="L20" s="12">
        <f>IFERROR(B20/C20,"")</f>
        <v/>
      </c>
      <c r="M20" s="12">
        <f>IFERROR(B20/D20,"")</f>
        <v/>
      </c>
      <c r="N20" s="12">
        <f>ROUND(I20*$S$6,0)</f>
        <v/>
      </c>
      <c r="O20" s="25">
        <f>IF(A20&gt;TODAY(),"—",IF(SUM(B20:J20)=0,"⬜ ยังไม่บันทึก",IF(AND(D20&gt;=$S$4,IFERROR(B20/D20,0)&lt;=$S$5),"✅ ผ่าน","⚠️ ต้องปรับ")))</f>
        <v/>
      </c>
      <c r="P20" s="26" t="n"/>
    </row>
    <row r="21">
      <c r="A21" s="23" t="n">
        <v>46277</v>
      </c>
      <c r="B21" s="24" t="n"/>
      <c r="C21" s="24" t="n"/>
      <c r="D21" s="24" t="n"/>
      <c r="E21" s="24" t="n"/>
      <c r="F21" s="24" t="n"/>
      <c r="G21" s="24" t="n"/>
      <c r="H21" s="24" t="n"/>
      <c r="I21" s="24" t="n"/>
      <c r="J21" s="24" t="n"/>
      <c r="K21" s="12">
        <f>I21-B21-J21</f>
        <v/>
      </c>
      <c r="L21" s="12">
        <f>IFERROR(B21/C21,"")</f>
        <v/>
      </c>
      <c r="M21" s="12">
        <f>IFERROR(B21/D21,"")</f>
        <v/>
      </c>
      <c r="N21" s="12">
        <f>ROUND(I21*$S$6,0)</f>
        <v/>
      </c>
      <c r="O21" s="25">
        <f>IF(A21&gt;TODAY(),"—",IF(SUM(B21:J21)=0,"⬜ ยังไม่บันทึก",IF(AND(D21&gt;=$S$4,IFERROR(B21/D21,0)&lt;=$S$5),"✅ ผ่าน","⚠️ ต้องปรับ")))</f>
        <v/>
      </c>
      <c r="P21" s="26" t="n"/>
    </row>
    <row r="22">
      <c r="A22" s="23" t="n">
        <v>46278</v>
      </c>
      <c r="B22" s="24" t="n"/>
      <c r="C22" s="24" t="n"/>
      <c r="D22" s="24" t="n"/>
      <c r="E22" s="24" t="n"/>
      <c r="F22" s="24" t="n"/>
      <c r="G22" s="24" t="n"/>
      <c r="H22" s="24" t="n"/>
      <c r="I22" s="24" t="n"/>
      <c r="J22" s="24" t="n"/>
      <c r="K22" s="12">
        <f>I22-B22-J22</f>
        <v/>
      </c>
      <c r="L22" s="12">
        <f>IFERROR(B22/C22,"")</f>
        <v/>
      </c>
      <c r="M22" s="12">
        <f>IFERROR(B22/D22,"")</f>
        <v/>
      </c>
      <c r="N22" s="12">
        <f>ROUND(I22*$S$6,0)</f>
        <v/>
      </c>
      <c r="O22" s="25">
        <f>IF(A22&gt;TODAY(),"—",IF(SUM(B22:J22)=0,"⬜ ยังไม่บันทึก",IF(AND(D22&gt;=$S$4,IFERROR(B22/D22,0)&lt;=$S$5),"✅ ผ่าน","⚠️ ต้องปรับ")))</f>
        <v/>
      </c>
      <c r="P22" s="26" t="n"/>
    </row>
    <row r="23">
      <c r="A23" s="23" t="n">
        <v>46279</v>
      </c>
      <c r="B23" s="24" t="n"/>
      <c r="C23" s="24" t="n"/>
      <c r="D23" s="24" t="n"/>
      <c r="E23" s="24" t="n"/>
      <c r="F23" s="24" t="n"/>
      <c r="G23" s="24" t="n"/>
      <c r="H23" s="24" t="n"/>
      <c r="I23" s="24" t="n"/>
      <c r="J23" s="24" t="n"/>
      <c r="K23" s="12">
        <f>I23-B23-J23</f>
        <v/>
      </c>
      <c r="L23" s="12">
        <f>IFERROR(B23/C23,"")</f>
        <v/>
      </c>
      <c r="M23" s="12">
        <f>IFERROR(B23/D23,"")</f>
        <v/>
      </c>
      <c r="N23" s="12">
        <f>ROUND(I23*$S$6,0)</f>
        <v/>
      </c>
      <c r="O23" s="25">
        <f>IF(A23&gt;TODAY(),"—",IF(SUM(B23:J23)=0,"⬜ ยังไม่บันทึก",IF(AND(D23&gt;=$S$4,IFERROR(B23/D23,0)&lt;=$S$5),"✅ ผ่าน","⚠️ ต้องปรับ")))</f>
        <v/>
      </c>
      <c r="P23" s="26" t="n"/>
    </row>
    <row r="24">
      <c r="A24" s="23" t="n">
        <v>46280</v>
      </c>
      <c r="B24" s="24" t="n"/>
      <c r="C24" s="24" t="n"/>
      <c r="D24" s="24" t="n"/>
      <c r="E24" s="24" t="n"/>
      <c r="F24" s="24" t="n"/>
      <c r="G24" s="24" t="n"/>
      <c r="H24" s="24" t="n"/>
      <c r="I24" s="24" t="n"/>
      <c r="J24" s="24" t="n"/>
      <c r="K24" s="12">
        <f>I24-B24-J24</f>
        <v/>
      </c>
      <c r="L24" s="12">
        <f>IFERROR(B24/C24,"")</f>
        <v/>
      </c>
      <c r="M24" s="12">
        <f>IFERROR(B24/D24,"")</f>
        <v/>
      </c>
      <c r="N24" s="12">
        <f>ROUND(I24*$S$6,0)</f>
        <v/>
      </c>
      <c r="O24" s="25">
        <f>IF(A24&gt;TODAY(),"—",IF(SUM(B24:J24)=0,"⬜ ยังไม่บันทึก",IF(AND(D24&gt;=$S$4,IFERROR(B24/D24,0)&lt;=$S$5),"✅ ผ่าน","⚠️ ต้องปรับ")))</f>
        <v/>
      </c>
      <c r="P24" s="26" t="n"/>
    </row>
    <row r="25">
      <c r="A25" s="23" t="n">
        <v>46281</v>
      </c>
      <c r="B25" s="24" t="n"/>
      <c r="C25" s="24" t="n"/>
      <c r="D25" s="24" t="n"/>
      <c r="E25" s="24" t="n"/>
      <c r="F25" s="24" t="n"/>
      <c r="G25" s="24" t="n"/>
      <c r="H25" s="24" t="n"/>
      <c r="I25" s="24" t="n"/>
      <c r="J25" s="24" t="n"/>
      <c r="K25" s="12">
        <f>I25-B25-J25</f>
        <v/>
      </c>
      <c r="L25" s="12">
        <f>IFERROR(B25/C25,"")</f>
        <v/>
      </c>
      <c r="M25" s="12">
        <f>IFERROR(B25/D25,"")</f>
        <v/>
      </c>
      <c r="N25" s="12">
        <f>ROUND(I25*$S$6,0)</f>
        <v/>
      </c>
      <c r="O25" s="25">
        <f>IF(A25&gt;TODAY(),"—",IF(SUM(B25:J25)=0,"⬜ ยังไม่บันทึก",IF(AND(D25&gt;=$S$4,IFERROR(B25/D25,0)&lt;=$S$5),"✅ ผ่าน","⚠️ ต้องปรับ")))</f>
        <v/>
      </c>
      <c r="P25" s="26" t="n"/>
    </row>
    <row r="26">
      <c r="A26" s="23" t="n">
        <v>46282</v>
      </c>
      <c r="B26" s="24" t="n"/>
      <c r="C26" s="24" t="n"/>
      <c r="D26" s="24" t="n"/>
      <c r="E26" s="24" t="n"/>
      <c r="F26" s="24" t="n"/>
      <c r="G26" s="24" t="n"/>
      <c r="H26" s="24" t="n"/>
      <c r="I26" s="24" t="n"/>
      <c r="J26" s="24" t="n"/>
      <c r="K26" s="12">
        <f>I26-B26-J26</f>
        <v/>
      </c>
      <c r="L26" s="12">
        <f>IFERROR(B26/C26,"")</f>
        <v/>
      </c>
      <c r="M26" s="12">
        <f>IFERROR(B26/D26,"")</f>
        <v/>
      </c>
      <c r="N26" s="12">
        <f>ROUND(I26*$S$6,0)</f>
        <v/>
      </c>
      <c r="O26" s="25">
        <f>IF(A26&gt;TODAY(),"—",IF(SUM(B26:J26)=0,"⬜ ยังไม่บันทึก",IF(AND(D26&gt;=$S$4,IFERROR(B26/D26,0)&lt;=$S$5),"✅ ผ่าน","⚠️ ต้องปรับ")))</f>
        <v/>
      </c>
      <c r="P26" s="26" t="n"/>
    </row>
    <row r="27">
      <c r="A27" s="23" t="n">
        <v>46283</v>
      </c>
      <c r="B27" s="24" t="n"/>
      <c r="C27" s="24" t="n"/>
      <c r="D27" s="24" t="n"/>
      <c r="E27" s="24" t="n"/>
      <c r="F27" s="24" t="n"/>
      <c r="G27" s="24" t="n"/>
      <c r="H27" s="24" t="n"/>
      <c r="I27" s="24" t="n"/>
      <c r="J27" s="24" t="n"/>
      <c r="K27" s="12">
        <f>I27-B27-J27</f>
        <v/>
      </c>
      <c r="L27" s="12">
        <f>IFERROR(B27/C27,"")</f>
        <v/>
      </c>
      <c r="M27" s="12">
        <f>IFERROR(B27/D27,"")</f>
        <v/>
      </c>
      <c r="N27" s="12">
        <f>ROUND(I27*$S$6,0)</f>
        <v/>
      </c>
      <c r="O27" s="25">
        <f>IF(A27&gt;TODAY(),"—",IF(SUM(B27:J27)=0,"⬜ ยังไม่บันทึก",IF(AND(D27&gt;=$S$4,IFERROR(B27/D27,0)&lt;=$S$5),"✅ ผ่าน","⚠️ ต้องปรับ")))</f>
        <v/>
      </c>
      <c r="P27" s="26" t="n"/>
    </row>
    <row r="28">
      <c r="A28" s="23" t="n">
        <v>46284</v>
      </c>
      <c r="B28" s="24" t="n"/>
      <c r="C28" s="24" t="n"/>
      <c r="D28" s="24" t="n"/>
      <c r="E28" s="24" t="n"/>
      <c r="F28" s="24" t="n"/>
      <c r="G28" s="24" t="n"/>
      <c r="H28" s="24" t="n"/>
      <c r="I28" s="24" t="n"/>
      <c r="J28" s="24" t="n"/>
      <c r="K28" s="12">
        <f>I28-B28-J28</f>
        <v/>
      </c>
      <c r="L28" s="12">
        <f>IFERROR(B28/C28,"")</f>
        <v/>
      </c>
      <c r="M28" s="12">
        <f>IFERROR(B28/D28,"")</f>
        <v/>
      </c>
      <c r="N28" s="12">
        <f>ROUND(I28*$S$6,0)</f>
        <v/>
      </c>
      <c r="O28" s="25">
        <f>IF(A28&gt;TODAY(),"—",IF(SUM(B28:J28)=0,"⬜ ยังไม่บันทึก",IF(AND(D28&gt;=$S$4,IFERROR(B28/D28,0)&lt;=$S$5),"✅ ผ่าน","⚠️ ต้องปรับ")))</f>
        <v/>
      </c>
      <c r="P28" s="26" t="n"/>
    </row>
    <row r="29">
      <c r="A29" s="23" t="n">
        <v>46285</v>
      </c>
      <c r="B29" s="24" t="n"/>
      <c r="C29" s="24" t="n"/>
      <c r="D29" s="24" t="n"/>
      <c r="E29" s="24" t="n"/>
      <c r="F29" s="24" t="n"/>
      <c r="G29" s="24" t="n"/>
      <c r="H29" s="24" t="n"/>
      <c r="I29" s="24" t="n"/>
      <c r="J29" s="24" t="n"/>
      <c r="K29" s="12">
        <f>I29-B29-J29</f>
        <v/>
      </c>
      <c r="L29" s="12">
        <f>IFERROR(B29/C29,"")</f>
        <v/>
      </c>
      <c r="M29" s="12">
        <f>IFERROR(B29/D29,"")</f>
        <v/>
      </c>
      <c r="N29" s="12">
        <f>ROUND(I29*$S$6,0)</f>
        <v/>
      </c>
      <c r="O29" s="25">
        <f>IF(A29&gt;TODAY(),"—",IF(SUM(B29:J29)=0,"⬜ ยังไม่บันทึก",IF(AND(D29&gt;=$S$4,IFERROR(B29/D29,0)&lt;=$S$5),"✅ ผ่าน","⚠️ ต้องปรับ")))</f>
        <v/>
      </c>
      <c r="P29" s="26" t="n"/>
    </row>
    <row r="30">
      <c r="A30" s="23" t="n">
        <v>46286</v>
      </c>
      <c r="B30" s="24" t="n"/>
      <c r="C30" s="24" t="n"/>
      <c r="D30" s="24" t="n"/>
      <c r="E30" s="24" t="n"/>
      <c r="F30" s="24" t="n"/>
      <c r="G30" s="24" t="n"/>
      <c r="H30" s="24" t="n"/>
      <c r="I30" s="24" t="n"/>
      <c r="J30" s="24" t="n"/>
      <c r="K30" s="12">
        <f>I30-B30-J30</f>
        <v/>
      </c>
      <c r="L30" s="12">
        <f>IFERROR(B30/C30,"")</f>
        <v/>
      </c>
      <c r="M30" s="12">
        <f>IFERROR(B30/D30,"")</f>
        <v/>
      </c>
      <c r="N30" s="12">
        <f>ROUND(I30*$S$6,0)</f>
        <v/>
      </c>
      <c r="O30" s="25">
        <f>IF(A30&gt;TODAY(),"—",IF(SUM(B30:J30)=0,"⬜ ยังไม่บันทึก",IF(AND(D30&gt;=$S$4,IFERROR(B30/D30,0)&lt;=$S$5),"✅ ผ่าน","⚠️ ต้องปรับ")))</f>
        <v/>
      </c>
      <c r="P30" s="26" t="n"/>
    </row>
    <row r="31">
      <c r="A31" s="23" t="n">
        <v>46287</v>
      </c>
      <c r="B31" s="24" t="n"/>
      <c r="C31" s="24" t="n"/>
      <c r="D31" s="24" t="n"/>
      <c r="E31" s="24" t="n"/>
      <c r="F31" s="24" t="n"/>
      <c r="G31" s="24" t="n"/>
      <c r="H31" s="24" t="n"/>
      <c r="I31" s="24" t="n"/>
      <c r="J31" s="24" t="n"/>
      <c r="K31" s="12">
        <f>I31-B31-J31</f>
        <v/>
      </c>
      <c r="L31" s="12">
        <f>IFERROR(B31/C31,"")</f>
        <v/>
      </c>
      <c r="M31" s="12">
        <f>IFERROR(B31/D31,"")</f>
        <v/>
      </c>
      <c r="N31" s="12">
        <f>ROUND(I31*$S$6,0)</f>
        <v/>
      </c>
      <c r="O31" s="25">
        <f>IF(A31&gt;TODAY(),"—",IF(SUM(B31:J31)=0,"⬜ ยังไม่บันทึก",IF(AND(D31&gt;=$S$4,IFERROR(B31/D31,0)&lt;=$S$5),"✅ ผ่าน","⚠️ ต้องปรับ")))</f>
        <v/>
      </c>
      <c r="P31" s="26" t="n"/>
    </row>
    <row r="32">
      <c r="A32" s="23" t="n">
        <v>46288</v>
      </c>
      <c r="B32" s="24" t="n"/>
      <c r="C32" s="24" t="n"/>
      <c r="D32" s="24" t="n"/>
      <c r="E32" s="24" t="n"/>
      <c r="F32" s="24" t="n"/>
      <c r="G32" s="24" t="n"/>
      <c r="H32" s="24" t="n"/>
      <c r="I32" s="24" t="n"/>
      <c r="J32" s="24" t="n"/>
      <c r="K32" s="12">
        <f>I32-B32-J32</f>
        <v/>
      </c>
      <c r="L32" s="12">
        <f>IFERROR(B32/C32,"")</f>
        <v/>
      </c>
      <c r="M32" s="12">
        <f>IFERROR(B32/D32,"")</f>
        <v/>
      </c>
      <c r="N32" s="12">
        <f>ROUND(I32*$S$6,0)</f>
        <v/>
      </c>
      <c r="O32" s="25">
        <f>IF(A32&gt;TODAY(),"—",IF(SUM(B32:J32)=0,"⬜ ยังไม่บันทึก",IF(AND(D32&gt;=$S$4,IFERROR(B32/D32,0)&lt;=$S$5),"✅ ผ่าน","⚠️ ต้องปรับ")))</f>
        <v/>
      </c>
      <c r="P32" s="26" t="n"/>
    </row>
    <row r="33">
      <c r="A33" s="23" t="n">
        <v>46289</v>
      </c>
      <c r="B33" s="24" t="n"/>
      <c r="C33" s="24" t="n"/>
      <c r="D33" s="24" t="n"/>
      <c r="E33" s="24" t="n"/>
      <c r="F33" s="24" t="n"/>
      <c r="G33" s="24" t="n"/>
      <c r="H33" s="24" t="n"/>
      <c r="I33" s="24" t="n"/>
      <c r="J33" s="24" t="n"/>
      <c r="K33" s="12">
        <f>I33-B33-J33</f>
        <v/>
      </c>
      <c r="L33" s="12">
        <f>IFERROR(B33/C33,"")</f>
        <v/>
      </c>
      <c r="M33" s="12">
        <f>IFERROR(B33/D33,"")</f>
        <v/>
      </c>
      <c r="N33" s="12">
        <f>ROUND(I33*$S$6,0)</f>
        <v/>
      </c>
      <c r="O33" s="25">
        <f>IF(A33&gt;TODAY(),"—",IF(SUM(B33:J33)=0,"⬜ ยังไม่บันทึก",IF(AND(D33&gt;=$S$4,IFERROR(B33/D33,0)&lt;=$S$5),"✅ ผ่าน","⚠️ ต้องปรับ")))</f>
        <v/>
      </c>
      <c r="P33" s="26" t="n"/>
    </row>
    <row r="34">
      <c r="A34" s="23" t="n">
        <v>46290</v>
      </c>
      <c r="B34" s="24" t="n"/>
      <c r="C34" s="24" t="n"/>
      <c r="D34" s="24" t="n"/>
      <c r="E34" s="24" t="n"/>
      <c r="F34" s="24" t="n"/>
      <c r="G34" s="24" t="n"/>
      <c r="H34" s="24" t="n"/>
      <c r="I34" s="24" t="n"/>
      <c r="J34" s="24" t="n"/>
      <c r="K34" s="12">
        <f>I34-B34-J34</f>
        <v/>
      </c>
      <c r="L34" s="12">
        <f>IFERROR(B34/C34,"")</f>
        <v/>
      </c>
      <c r="M34" s="12">
        <f>IFERROR(B34/D34,"")</f>
        <v/>
      </c>
      <c r="N34" s="12">
        <f>ROUND(I34*$S$6,0)</f>
        <v/>
      </c>
      <c r="O34" s="25">
        <f>IF(A34&gt;TODAY(),"—",IF(SUM(B34:J34)=0,"⬜ ยังไม่บันทึก",IF(AND(D34&gt;=$S$4,IFERROR(B34/D34,0)&lt;=$S$5),"✅ ผ่าน","⚠️ ต้องปรับ")))</f>
        <v/>
      </c>
      <c r="P34" s="26" t="n"/>
    </row>
    <row r="35">
      <c r="A35" s="23" t="n">
        <v>46291</v>
      </c>
      <c r="B35" s="24" t="n"/>
      <c r="C35" s="24" t="n"/>
      <c r="D35" s="24" t="n"/>
      <c r="E35" s="24" t="n"/>
      <c r="F35" s="24" t="n"/>
      <c r="G35" s="24" t="n"/>
      <c r="H35" s="24" t="n"/>
      <c r="I35" s="24" t="n"/>
      <c r="J35" s="24" t="n"/>
      <c r="K35" s="12">
        <f>I35-B35-J35</f>
        <v/>
      </c>
      <c r="L35" s="12">
        <f>IFERROR(B35/C35,"")</f>
        <v/>
      </c>
      <c r="M35" s="12">
        <f>IFERROR(B35/D35,"")</f>
        <v/>
      </c>
      <c r="N35" s="12">
        <f>ROUND(I35*$S$6,0)</f>
        <v/>
      </c>
      <c r="O35" s="25">
        <f>IF(A35&gt;TODAY(),"—",IF(SUM(B35:J35)=0,"⬜ ยังไม่บันทึก",IF(AND(D35&gt;=$S$4,IFERROR(B35/D35,0)&lt;=$S$5),"✅ ผ่าน","⚠️ ต้องปรับ")))</f>
        <v/>
      </c>
      <c r="P35" s="26" t="n"/>
    </row>
    <row r="36">
      <c r="A36" s="23" t="n">
        <v>46292</v>
      </c>
      <c r="B36" s="24" t="n"/>
      <c r="C36" s="24" t="n"/>
      <c r="D36" s="24" t="n"/>
      <c r="E36" s="24" t="n"/>
      <c r="F36" s="24" t="n"/>
      <c r="G36" s="24" t="n"/>
      <c r="H36" s="24" t="n"/>
      <c r="I36" s="24" t="n"/>
      <c r="J36" s="24" t="n"/>
      <c r="K36" s="12">
        <f>I36-B36-J36</f>
        <v/>
      </c>
      <c r="L36" s="12">
        <f>IFERROR(B36/C36,"")</f>
        <v/>
      </c>
      <c r="M36" s="12">
        <f>IFERROR(B36/D36,"")</f>
        <v/>
      </c>
      <c r="N36" s="12">
        <f>ROUND(I36*$S$6,0)</f>
        <v/>
      </c>
      <c r="O36" s="25">
        <f>IF(A36&gt;TODAY(),"—",IF(SUM(B36:J36)=0,"⬜ ยังไม่บันทึก",IF(AND(D36&gt;=$S$4,IFERROR(B36/D36,0)&lt;=$S$5),"✅ ผ่าน","⚠️ ต้องปรับ")))</f>
        <v/>
      </c>
      <c r="P36" s="26" t="n"/>
    </row>
    <row r="37">
      <c r="A37" s="23" t="n">
        <v>46293</v>
      </c>
      <c r="B37" s="24" t="n"/>
      <c r="C37" s="24" t="n"/>
      <c r="D37" s="24" t="n"/>
      <c r="E37" s="24" t="n"/>
      <c r="F37" s="24" t="n"/>
      <c r="G37" s="24" t="n"/>
      <c r="H37" s="24" t="n"/>
      <c r="I37" s="24" t="n"/>
      <c r="J37" s="24" t="n"/>
      <c r="K37" s="12">
        <f>I37-B37-J37</f>
        <v/>
      </c>
      <c r="L37" s="12">
        <f>IFERROR(B37/C37,"")</f>
        <v/>
      </c>
      <c r="M37" s="12">
        <f>IFERROR(B37/D37,"")</f>
        <v/>
      </c>
      <c r="N37" s="12">
        <f>ROUND(I37*$S$6,0)</f>
        <v/>
      </c>
      <c r="O37" s="25">
        <f>IF(A37&gt;TODAY(),"—",IF(SUM(B37:J37)=0,"⬜ ยังไม่บันทึก",IF(AND(D37&gt;=$S$4,IFERROR(B37/D37,0)&lt;=$S$5),"✅ ผ่าน","⚠️ ต้องปรับ")))</f>
        <v/>
      </c>
      <c r="P37" s="26" t="n"/>
    </row>
    <row r="38">
      <c r="A38" s="23" t="n">
        <v>46294</v>
      </c>
      <c r="B38" s="24" t="n"/>
      <c r="C38" s="24" t="n"/>
      <c r="D38" s="24" t="n"/>
      <c r="E38" s="24" t="n"/>
      <c r="F38" s="24" t="n"/>
      <c r="G38" s="24" t="n"/>
      <c r="H38" s="24" t="n"/>
      <c r="I38" s="24" t="n"/>
      <c r="J38" s="24" t="n"/>
      <c r="K38" s="12">
        <f>I38-B38-J38</f>
        <v/>
      </c>
      <c r="L38" s="12">
        <f>IFERROR(B38/C38,"")</f>
        <v/>
      </c>
      <c r="M38" s="12">
        <f>IFERROR(B38/D38,"")</f>
        <v/>
      </c>
      <c r="N38" s="12">
        <f>ROUND(I38*$S$6,0)</f>
        <v/>
      </c>
      <c r="O38" s="25">
        <f>IF(A38&gt;TODAY(),"—",IF(SUM(B38:J38)=0,"⬜ ยังไม่บันทึก",IF(AND(D38&gt;=$S$4,IFERROR(B38/D38,0)&lt;=$S$5),"✅ ผ่าน","⚠️ ต้องปรับ")))</f>
        <v/>
      </c>
      <c r="P38" s="26" t="n"/>
    </row>
    <row r="39">
      <c r="A39" s="23" t="n">
        <v>46295</v>
      </c>
      <c r="B39" s="24" t="n"/>
      <c r="C39" s="24" t="n"/>
      <c r="D39" s="24" t="n"/>
      <c r="E39" s="24" t="n"/>
      <c r="F39" s="24" t="n"/>
      <c r="G39" s="24" t="n"/>
      <c r="H39" s="24" t="n"/>
      <c r="I39" s="24" t="n"/>
      <c r="J39" s="24" t="n"/>
      <c r="K39" s="12">
        <f>I39-B39-J39</f>
        <v/>
      </c>
      <c r="L39" s="12">
        <f>IFERROR(B39/C39,"")</f>
        <v/>
      </c>
      <c r="M39" s="12">
        <f>IFERROR(B39/D39,"")</f>
        <v/>
      </c>
      <c r="N39" s="12">
        <f>ROUND(I39*$S$6,0)</f>
        <v/>
      </c>
      <c r="O39" s="25">
        <f>IF(A39&gt;TODAY(),"—",IF(SUM(B39:J39)=0,"⬜ ยังไม่บันทึก",IF(AND(D39&gt;=$S$4,IFERROR(B39/D39,0)&lt;=$S$5),"✅ ผ่าน","⚠️ ต้องปรับ")))</f>
        <v/>
      </c>
      <c r="P39" s="26" t="n"/>
    </row>
    <row r="40">
      <c r="A40" s="31" t="n">
        <v>46296</v>
      </c>
      <c r="B40" s="24" t="n"/>
      <c r="C40" s="24" t="n"/>
      <c r="D40" s="24" t="n"/>
      <c r="E40" s="24" t="n"/>
      <c r="F40" s="24" t="n"/>
      <c r="G40" s="24" t="n"/>
      <c r="H40" s="24" t="n"/>
      <c r="I40" s="24" t="n"/>
      <c r="J40" s="24" t="n"/>
      <c r="K40" s="12">
        <f>I40-B40-J40</f>
        <v/>
      </c>
      <c r="L40" s="12">
        <f>IFERROR(B40/C40,"")</f>
        <v/>
      </c>
      <c r="M40" s="12">
        <f>IFERROR(B40/D40,"")</f>
        <v/>
      </c>
      <c r="N40" s="12">
        <f>ROUND(I40*$S$6,0)</f>
        <v/>
      </c>
      <c r="O40" s="25">
        <f>IF(A40&gt;TODAY(),"—",IF(SUM(B40:J40)=0,"⬜ ยังไม่บันทึก",IF(AND(D40&gt;=$S$4,IFERROR(B40/D40,0)&lt;=$S$5),"✅ ผ่าน","⚠️ ต้องปรับ")))</f>
        <v/>
      </c>
      <c r="P40" s="26" t="n"/>
    </row>
    <row r="41">
      <c r="A41" s="23" t="n">
        <v>46297</v>
      </c>
      <c r="B41" s="24" t="n"/>
      <c r="C41" s="24" t="n"/>
      <c r="D41" s="24" t="n"/>
      <c r="E41" s="24" t="n"/>
      <c r="F41" s="24" t="n"/>
      <c r="G41" s="24" t="n"/>
      <c r="H41" s="24" t="n"/>
      <c r="I41" s="24" t="n"/>
      <c r="J41" s="24" t="n"/>
      <c r="K41" s="12">
        <f>I41-B41-J41</f>
        <v/>
      </c>
      <c r="L41" s="12">
        <f>IFERROR(B41/C41,"")</f>
        <v/>
      </c>
      <c r="M41" s="12">
        <f>IFERROR(B41/D41,"")</f>
        <v/>
      </c>
      <c r="N41" s="12">
        <f>ROUND(I41*$S$6,0)</f>
        <v/>
      </c>
      <c r="O41" s="25">
        <f>IF(A41&gt;TODAY(),"—",IF(SUM(B41:J41)=0,"⬜ ยังไม่บันทึก",IF(AND(D41&gt;=$S$4,IFERROR(B41/D41,0)&lt;=$S$5),"✅ ผ่าน","⚠️ ต้องปรับ")))</f>
        <v/>
      </c>
      <c r="P41" s="26" t="n"/>
    </row>
    <row r="42">
      <c r="A42" s="23" t="n">
        <v>46298</v>
      </c>
      <c r="B42" s="24" t="n"/>
      <c r="C42" s="24" t="n"/>
      <c r="D42" s="24" t="n"/>
      <c r="E42" s="24" t="n"/>
      <c r="F42" s="24" t="n"/>
      <c r="G42" s="24" t="n"/>
      <c r="H42" s="24" t="n"/>
      <c r="I42" s="24" t="n"/>
      <c r="J42" s="24" t="n"/>
      <c r="K42" s="12">
        <f>I42-B42-J42</f>
        <v/>
      </c>
      <c r="L42" s="12">
        <f>IFERROR(B42/C42,"")</f>
        <v/>
      </c>
      <c r="M42" s="12">
        <f>IFERROR(B42/D42,"")</f>
        <v/>
      </c>
      <c r="N42" s="12">
        <f>ROUND(I42*$S$6,0)</f>
        <v/>
      </c>
      <c r="O42" s="25">
        <f>IF(A42&gt;TODAY(),"—",IF(SUM(B42:J42)=0,"⬜ ยังไม่บันทึก",IF(AND(D42&gt;=$S$4,IFERROR(B42/D42,0)&lt;=$S$5),"✅ ผ่าน","⚠️ ต้องปรับ")))</f>
        <v/>
      </c>
      <c r="P42" s="26" t="n"/>
    </row>
    <row r="43">
      <c r="A43" s="23" t="n">
        <v>46299</v>
      </c>
      <c r="B43" s="24" t="n"/>
      <c r="C43" s="24" t="n"/>
      <c r="D43" s="24" t="n"/>
      <c r="E43" s="24" t="n"/>
      <c r="F43" s="24" t="n"/>
      <c r="G43" s="24" t="n"/>
      <c r="H43" s="24" t="n"/>
      <c r="I43" s="24" t="n"/>
      <c r="J43" s="24" t="n"/>
      <c r="K43" s="12">
        <f>I43-B43-J43</f>
        <v/>
      </c>
      <c r="L43" s="12">
        <f>IFERROR(B43/C43,"")</f>
        <v/>
      </c>
      <c r="M43" s="12">
        <f>IFERROR(B43/D43,"")</f>
        <v/>
      </c>
      <c r="N43" s="12">
        <f>ROUND(I43*$S$6,0)</f>
        <v/>
      </c>
      <c r="O43" s="25">
        <f>IF(A43&gt;TODAY(),"—",IF(SUM(B43:J43)=0,"⬜ ยังไม่บันทึก",IF(AND(D43&gt;=$S$4,IFERROR(B43/D43,0)&lt;=$S$5),"✅ ผ่าน","⚠️ ต้องปรับ")))</f>
        <v/>
      </c>
      <c r="P43" s="26" t="n"/>
    </row>
    <row r="44">
      <c r="A44" s="23" t="n">
        <v>46300</v>
      </c>
      <c r="B44" s="24" t="n"/>
      <c r="C44" s="24" t="n"/>
      <c r="D44" s="24" t="n"/>
      <c r="E44" s="24" t="n"/>
      <c r="F44" s="24" t="n"/>
      <c r="G44" s="24" t="n"/>
      <c r="H44" s="24" t="n"/>
      <c r="I44" s="24" t="n"/>
      <c r="J44" s="24" t="n"/>
      <c r="K44" s="12">
        <f>I44-B44-J44</f>
        <v/>
      </c>
      <c r="L44" s="12">
        <f>IFERROR(B44/C44,"")</f>
        <v/>
      </c>
      <c r="M44" s="12">
        <f>IFERROR(B44/D44,"")</f>
        <v/>
      </c>
      <c r="N44" s="12">
        <f>ROUND(I44*$S$6,0)</f>
        <v/>
      </c>
      <c r="O44" s="25">
        <f>IF(A44&gt;TODAY(),"—",IF(SUM(B44:J44)=0,"⬜ ยังไม่บันทึก",IF(AND(D44&gt;=$S$4,IFERROR(B44/D44,0)&lt;=$S$5),"✅ ผ่าน","⚠️ ต้องปรับ")))</f>
        <v/>
      </c>
      <c r="P44" s="26" t="n"/>
    </row>
    <row r="45">
      <c r="A45" s="23" t="n">
        <v>46301</v>
      </c>
      <c r="B45" s="24" t="n"/>
      <c r="C45" s="24" t="n"/>
      <c r="D45" s="24" t="n"/>
      <c r="E45" s="24" t="n"/>
      <c r="F45" s="24" t="n"/>
      <c r="G45" s="24" t="n"/>
      <c r="H45" s="24" t="n"/>
      <c r="I45" s="24" t="n"/>
      <c r="J45" s="24" t="n"/>
      <c r="K45" s="12">
        <f>I45-B45-J45</f>
        <v/>
      </c>
      <c r="L45" s="12">
        <f>IFERROR(B45/C45,"")</f>
        <v/>
      </c>
      <c r="M45" s="12">
        <f>IFERROR(B45/D45,"")</f>
        <v/>
      </c>
      <c r="N45" s="12">
        <f>ROUND(I45*$S$6,0)</f>
        <v/>
      </c>
      <c r="O45" s="25">
        <f>IF(A45&gt;TODAY(),"—",IF(SUM(B45:J45)=0,"⬜ ยังไม่บันทึก",IF(AND(D45&gt;=$S$4,IFERROR(B45/D45,0)&lt;=$S$5),"✅ ผ่าน","⚠️ ต้องปรับ")))</f>
        <v/>
      </c>
      <c r="P45" s="26" t="n"/>
    </row>
    <row r="46">
      <c r="A46" s="23" t="n">
        <v>46302</v>
      </c>
      <c r="B46" s="24" t="n"/>
      <c r="C46" s="24" t="n"/>
      <c r="D46" s="24" t="n"/>
      <c r="E46" s="24" t="n"/>
      <c r="F46" s="24" t="n"/>
      <c r="G46" s="24" t="n"/>
      <c r="H46" s="24" t="n"/>
      <c r="I46" s="24" t="n"/>
      <c r="J46" s="24" t="n"/>
      <c r="K46" s="12">
        <f>I46-B46-J46</f>
        <v/>
      </c>
      <c r="L46" s="12">
        <f>IFERROR(B46/C46,"")</f>
        <v/>
      </c>
      <c r="M46" s="12">
        <f>IFERROR(B46/D46,"")</f>
        <v/>
      </c>
      <c r="N46" s="12">
        <f>ROUND(I46*$S$6,0)</f>
        <v/>
      </c>
      <c r="O46" s="25">
        <f>IF(A46&gt;TODAY(),"—",IF(SUM(B46:J46)=0,"⬜ ยังไม่บันทึก",IF(AND(D46&gt;=$S$4,IFERROR(B46/D46,0)&lt;=$S$5),"✅ ผ่าน","⚠️ ต้องปรับ")))</f>
        <v/>
      </c>
      <c r="P46" s="26" t="n"/>
    </row>
    <row r="47">
      <c r="A47" s="23" t="n">
        <v>46303</v>
      </c>
      <c r="B47" s="24" t="n"/>
      <c r="C47" s="24" t="n"/>
      <c r="D47" s="24" t="n"/>
      <c r="E47" s="24" t="n"/>
      <c r="F47" s="24" t="n"/>
      <c r="G47" s="24" t="n"/>
      <c r="H47" s="24" t="n"/>
      <c r="I47" s="24" t="n"/>
      <c r="J47" s="24" t="n"/>
      <c r="K47" s="12">
        <f>I47-B47-J47</f>
        <v/>
      </c>
      <c r="L47" s="12">
        <f>IFERROR(B47/C47,"")</f>
        <v/>
      </c>
      <c r="M47" s="12">
        <f>IFERROR(B47/D47,"")</f>
        <v/>
      </c>
      <c r="N47" s="12">
        <f>ROUND(I47*$S$6,0)</f>
        <v/>
      </c>
      <c r="O47" s="25">
        <f>IF(A47&gt;TODAY(),"—",IF(SUM(B47:J47)=0,"⬜ ยังไม่บันทึก",IF(AND(D47&gt;=$S$4,IFERROR(B47/D47,0)&lt;=$S$5),"✅ ผ่าน","⚠️ ต้องปรับ")))</f>
        <v/>
      </c>
      <c r="P47" s="26" t="n"/>
    </row>
    <row r="48">
      <c r="A48" s="23" t="n">
        <v>46304</v>
      </c>
      <c r="B48" s="24" t="n"/>
      <c r="C48" s="24" t="n"/>
      <c r="D48" s="24" t="n"/>
      <c r="E48" s="24" t="n"/>
      <c r="F48" s="24" t="n"/>
      <c r="G48" s="24" t="n"/>
      <c r="H48" s="24" t="n"/>
      <c r="I48" s="24" t="n"/>
      <c r="J48" s="24" t="n"/>
      <c r="K48" s="12">
        <f>I48-B48-J48</f>
        <v/>
      </c>
      <c r="L48" s="12">
        <f>IFERROR(B48/C48,"")</f>
        <v/>
      </c>
      <c r="M48" s="12">
        <f>IFERROR(B48/D48,"")</f>
        <v/>
      </c>
      <c r="N48" s="12">
        <f>ROUND(I48*$S$6,0)</f>
        <v/>
      </c>
      <c r="O48" s="25">
        <f>IF(A48&gt;TODAY(),"—",IF(SUM(B48:J48)=0,"⬜ ยังไม่บันทึก",IF(AND(D48&gt;=$S$4,IFERROR(B48/D48,0)&lt;=$S$5),"✅ ผ่าน","⚠️ ต้องปรับ")))</f>
        <v/>
      </c>
      <c r="P48" s="26" t="n"/>
    </row>
    <row r="49">
      <c r="A49" s="23" t="n">
        <v>46305</v>
      </c>
      <c r="B49" s="24" t="n"/>
      <c r="C49" s="24" t="n"/>
      <c r="D49" s="24" t="n"/>
      <c r="E49" s="24" t="n"/>
      <c r="F49" s="24" t="n"/>
      <c r="G49" s="24" t="n"/>
      <c r="H49" s="24" t="n"/>
      <c r="I49" s="24" t="n"/>
      <c r="J49" s="24" t="n"/>
      <c r="K49" s="12">
        <f>I49-B49-J49</f>
        <v/>
      </c>
      <c r="L49" s="12">
        <f>IFERROR(B49/C49,"")</f>
        <v/>
      </c>
      <c r="M49" s="12">
        <f>IFERROR(B49/D49,"")</f>
        <v/>
      </c>
      <c r="N49" s="12">
        <f>ROUND(I49*$S$6,0)</f>
        <v/>
      </c>
      <c r="O49" s="25">
        <f>IF(A49&gt;TODAY(),"—",IF(SUM(B49:J49)=0,"⬜ ยังไม่บันทึก",IF(AND(D49&gt;=$S$4,IFERROR(B49/D49,0)&lt;=$S$5),"✅ ผ่าน","⚠️ ต้องปรับ")))</f>
        <v/>
      </c>
      <c r="P49" s="26" t="n"/>
    </row>
    <row r="50">
      <c r="A50" s="23" t="n">
        <v>46306</v>
      </c>
      <c r="B50" s="24" t="n"/>
      <c r="C50" s="24" t="n"/>
      <c r="D50" s="24" t="n"/>
      <c r="E50" s="24" t="n"/>
      <c r="F50" s="24" t="n"/>
      <c r="G50" s="24" t="n"/>
      <c r="H50" s="24" t="n"/>
      <c r="I50" s="24" t="n"/>
      <c r="J50" s="24" t="n"/>
      <c r="K50" s="12">
        <f>I50-B50-J50</f>
        <v/>
      </c>
      <c r="L50" s="12">
        <f>IFERROR(B50/C50,"")</f>
        <v/>
      </c>
      <c r="M50" s="12">
        <f>IFERROR(B50/D50,"")</f>
        <v/>
      </c>
      <c r="N50" s="12">
        <f>ROUND(I50*$S$6,0)</f>
        <v/>
      </c>
      <c r="O50" s="25">
        <f>IF(A50&gt;TODAY(),"—",IF(SUM(B50:J50)=0,"⬜ ยังไม่บันทึก",IF(AND(D50&gt;=$S$4,IFERROR(B50/D50,0)&lt;=$S$5),"✅ ผ่าน","⚠️ ต้องปรับ")))</f>
        <v/>
      </c>
      <c r="P50" s="26" t="n"/>
    </row>
    <row r="51">
      <c r="A51" s="23" t="n">
        <v>46307</v>
      </c>
      <c r="B51" s="24" t="n"/>
      <c r="C51" s="24" t="n"/>
      <c r="D51" s="24" t="n"/>
      <c r="E51" s="24" t="n"/>
      <c r="F51" s="24" t="n"/>
      <c r="G51" s="24" t="n"/>
      <c r="H51" s="24" t="n"/>
      <c r="I51" s="24" t="n"/>
      <c r="J51" s="24" t="n"/>
      <c r="K51" s="12">
        <f>I51-B51-J51</f>
        <v/>
      </c>
      <c r="L51" s="12">
        <f>IFERROR(B51/C51,"")</f>
        <v/>
      </c>
      <c r="M51" s="12">
        <f>IFERROR(B51/D51,"")</f>
        <v/>
      </c>
      <c r="N51" s="12">
        <f>ROUND(I51*$S$6,0)</f>
        <v/>
      </c>
      <c r="O51" s="25">
        <f>IF(A51&gt;TODAY(),"—",IF(SUM(B51:J51)=0,"⬜ ยังไม่บันทึก",IF(AND(D51&gt;=$S$4,IFERROR(B51/D51,0)&lt;=$S$5),"✅ ผ่าน","⚠️ ต้องปรับ")))</f>
        <v/>
      </c>
      <c r="P51" s="26" t="n"/>
    </row>
    <row r="52">
      <c r="A52" s="23" t="n">
        <v>46308</v>
      </c>
      <c r="B52" s="24" t="n"/>
      <c r="C52" s="24" t="n"/>
      <c r="D52" s="24" t="n"/>
      <c r="E52" s="24" t="n"/>
      <c r="F52" s="24" t="n"/>
      <c r="G52" s="24" t="n"/>
      <c r="H52" s="24" t="n"/>
      <c r="I52" s="24" t="n"/>
      <c r="J52" s="24" t="n"/>
      <c r="K52" s="12">
        <f>I52-B52-J52</f>
        <v/>
      </c>
      <c r="L52" s="12">
        <f>IFERROR(B52/C52,"")</f>
        <v/>
      </c>
      <c r="M52" s="12">
        <f>IFERROR(B52/D52,"")</f>
        <v/>
      </c>
      <c r="N52" s="12">
        <f>ROUND(I52*$S$6,0)</f>
        <v/>
      </c>
      <c r="O52" s="25">
        <f>IF(A52&gt;TODAY(),"—",IF(SUM(B52:J52)=0,"⬜ ยังไม่บันทึก",IF(AND(D52&gt;=$S$4,IFERROR(B52/D52,0)&lt;=$S$5),"✅ ผ่าน","⚠️ ต้องปรับ")))</f>
        <v/>
      </c>
      <c r="P52" s="26" t="n"/>
    </row>
    <row r="53">
      <c r="A53" s="23" t="n">
        <v>46309</v>
      </c>
      <c r="B53" s="24" t="n"/>
      <c r="C53" s="24" t="n"/>
      <c r="D53" s="24" t="n"/>
      <c r="E53" s="24" t="n"/>
      <c r="F53" s="24" t="n"/>
      <c r="G53" s="24" t="n"/>
      <c r="H53" s="24" t="n"/>
      <c r="I53" s="24" t="n"/>
      <c r="J53" s="24" t="n"/>
      <c r="K53" s="12">
        <f>I53-B53-J53</f>
        <v/>
      </c>
      <c r="L53" s="12">
        <f>IFERROR(B53/C53,"")</f>
        <v/>
      </c>
      <c r="M53" s="12">
        <f>IFERROR(B53/D53,"")</f>
        <v/>
      </c>
      <c r="N53" s="12">
        <f>ROUND(I53*$S$6,0)</f>
        <v/>
      </c>
      <c r="O53" s="25">
        <f>IF(A53&gt;TODAY(),"—",IF(SUM(B53:J53)=0,"⬜ ยังไม่บันทึก",IF(AND(D53&gt;=$S$4,IFERROR(B53/D53,0)&lt;=$S$5),"✅ ผ่าน","⚠️ ต้องปรับ")))</f>
        <v/>
      </c>
      <c r="P53" s="26" t="n"/>
    </row>
    <row r="54">
      <c r="A54" s="23" t="n">
        <v>46310</v>
      </c>
      <c r="B54" s="24" t="n"/>
      <c r="C54" s="24" t="n"/>
      <c r="D54" s="24" t="n"/>
      <c r="E54" s="24" t="n"/>
      <c r="F54" s="24" t="n"/>
      <c r="G54" s="24" t="n"/>
      <c r="H54" s="24" t="n"/>
      <c r="I54" s="24" t="n"/>
      <c r="J54" s="24" t="n"/>
      <c r="K54" s="12">
        <f>I54-B54-J54</f>
        <v/>
      </c>
      <c r="L54" s="12">
        <f>IFERROR(B54/C54,"")</f>
        <v/>
      </c>
      <c r="M54" s="12">
        <f>IFERROR(B54/D54,"")</f>
        <v/>
      </c>
      <c r="N54" s="12">
        <f>ROUND(I54*$S$6,0)</f>
        <v/>
      </c>
      <c r="O54" s="25">
        <f>IF(A54&gt;TODAY(),"—",IF(SUM(B54:J54)=0,"⬜ ยังไม่บันทึก",IF(AND(D54&gt;=$S$4,IFERROR(B54/D54,0)&lt;=$S$5),"✅ ผ่าน","⚠️ ต้องปรับ")))</f>
        <v/>
      </c>
      <c r="P54" s="26" t="n"/>
    </row>
    <row r="55">
      <c r="A55" s="23" t="n">
        <v>46311</v>
      </c>
      <c r="B55" s="24" t="n"/>
      <c r="C55" s="24" t="n"/>
      <c r="D55" s="24" t="n"/>
      <c r="E55" s="24" t="n"/>
      <c r="F55" s="24" t="n"/>
      <c r="G55" s="24" t="n"/>
      <c r="H55" s="24" t="n"/>
      <c r="I55" s="24" t="n"/>
      <c r="J55" s="24" t="n"/>
      <c r="K55" s="12">
        <f>I55-B55-J55</f>
        <v/>
      </c>
      <c r="L55" s="12">
        <f>IFERROR(B55/C55,"")</f>
        <v/>
      </c>
      <c r="M55" s="12">
        <f>IFERROR(B55/D55,"")</f>
        <v/>
      </c>
      <c r="N55" s="12">
        <f>ROUND(I55*$S$6,0)</f>
        <v/>
      </c>
      <c r="O55" s="25">
        <f>IF(A55&gt;TODAY(),"—",IF(SUM(B55:J55)=0,"⬜ ยังไม่บันทึก",IF(AND(D55&gt;=$S$4,IFERROR(B55/D55,0)&lt;=$S$5),"✅ ผ่าน","⚠️ ต้องปรับ")))</f>
        <v/>
      </c>
      <c r="P55" s="26" t="n"/>
    </row>
    <row r="56">
      <c r="A56" s="23" t="n">
        <v>46312</v>
      </c>
      <c r="B56" s="24" t="n"/>
      <c r="C56" s="24" t="n"/>
      <c r="D56" s="24" t="n"/>
      <c r="E56" s="24" t="n"/>
      <c r="F56" s="24" t="n"/>
      <c r="G56" s="24" t="n"/>
      <c r="H56" s="24" t="n"/>
      <c r="I56" s="24" t="n"/>
      <c r="J56" s="24" t="n"/>
      <c r="K56" s="12">
        <f>I56-B56-J56</f>
        <v/>
      </c>
      <c r="L56" s="12">
        <f>IFERROR(B56/C56,"")</f>
        <v/>
      </c>
      <c r="M56" s="12">
        <f>IFERROR(B56/D56,"")</f>
        <v/>
      </c>
      <c r="N56" s="12">
        <f>ROUND(I56*$S$6,0)</f>
        <v/>
      </c>
      <c r="O56" s="25">
        <f>IF(A56&gt;TODAY(),"—",IF(SUM(B56:J56)=0,"⬜ ยังไม่บันทึก",IF(AND(D56&gt;=$S$4,IFERROR(B56/D56,0)&lt;=$S$5),"✅ ผ่าน","⚠️ ต้องปรับ")))</f>
        <v/>
      </c>
      <c r="P56" s="26" t="n"/>
    </row>
    <row r="57">
      <c r="A57" s="23" t="n">
        <v>46313</v>
      </c>
      <c r="B57" s="24" t="n"/>
      <c r="C57" s="24" t="n"/>
      <c r="D57" s="24" t="n"/>
      <c r="E57" s="24" t="n"/>
      <c r="F57" s="24" t="n"/>
      <c r="G57" s="24" t="n"/>
      <c r="H57" s="24" t="n"/>
      <c r="I57" s="24" t="n"/>
      <c r="J57" s="24" t="n"/>
      <c r="K57" s="12">
        <f>I57-B57-J57</f>
        <v/>
      </c>
      <c r="L57" s="12">
        <f>IFERROR(B57/C57,"")</f>
        <v/>
      </c>
      <c r="M57" s="12">
        <f>IFERROR(B57/D57,"")</f>
        <v/>
      </c>
      <c r="N57" s="12">
        <f>ROUND(I57*$S$6,0)</f>
        <v/>
      </c>
      <c r="O57" s="25">
        <f>IF(A57&gt;TODAY(),"—",IF(SUM(B57:J57)=0,"⬜ ยังไม่บันทึก",IF(AND(D57&gt;=$S$4,IFERROR(B57/D57,0)&lt;=$S$5),"✅ ผ่าน","⚠️ ต้องปรับ")))</f>
        <v/>
      </c>
      <c r="P57" s="26" t="n"/>
    </row>
    <row r="58">
      <c r="A58" s="23" t="n">
        <v>46314</v>
      </c>
      <c r="B58" s="24" t="n"/>
      <c r="C58" s="24" t="n"/>
      <c r="D58" s="24" t="n"/>
      <c r="E58" s="24" t="n"/>
      <c r="F58" s="24" t="n"/>
      <c r="G58" s="24" t="n"/>
      <c r="H58" s="24" t="n"/>
      <c r="I58" s="24" t="n"/>
      <c r="J58" s="24" t="n"/>
      <c r="K58" s="12">
        <f>I58-B58-J58</f>
        <v/>
      </c>
      <c r="L58" s="12">
        <f>IFERROR(B58/C58,"")</f>
        <v/>
      </c>
      <c r="M58" s="12">
        <f>IFERROR(B58/D58,"")</f>
        <v/>
      </c>
      <c r="N58" s="12">
        <f>ROUND(I58*$S$6,0)</f>
        <v/>
      </c>
      <c r="O58" s="25">
        <f>IF(A58&gt;TODAY(),"—",IF(SUM(B58:J58)=0,"⬜ ยังไม่บันทึก",IF(AND(D58&gt;=$S$4,IFERROR(B58/D58,0)&lt;=$S$5),"✅ ผ่าน","⚠️ ต้องปรับ")))</f>
        <v/>
      </c>
      <c r="P58" s="26" t="n"/>
    </row>
    <row r="59">
      <c r="A59" s="23" t="n">
        <v>46315</v>
      </c>
      <c r="B59" s="24" t="n"/>
      <c r="C59" s="24" t="n"/>
      <c r="D59" s="24" t="n"/>
      <c r="E59" s="24" t="n"/>
      <c r="F59" s="24" t="n"/>
      <c r="G59" s="24" t="n"/>
      <c r="H59" s="24" t="n"/>
      <c r="I59" s="24" t="n"/>
      <c r="J59" s="24" t="n"/>
      <c r="K59" s="12">
        <f>I59-B59-J59</f>
        <v/>
      </c>
      <c r="L59" s="12">
        <f>IFERROR(B59/C59,"")</f>
        <v/>
      </c>
      <c r="M59" s="12">
        <f>IFERROR(B59/D59,"")</f>
        <v/>
      </c>
      <c r="N59" s="12">
        <f>ROUND(I59*$S$6,0)</f>
        <v/>
      </c>
      <c r="O59" s="25">
        <f>IF(A59&gt;TODAY(),"—",IF(SUM(B59:J59)=0,"⬜ ยังไม่บันทึก",IF(AND(D59&gt;=$S$4,IFERROR(B59/D59,0)&lt;=$S$5),"✅ ผ่าน","⚠️ ต้องปรับ")))</f>
        <v/>
      </c>
      <c r="P59" s="26" t="n"/>
    </row>
    <row r="60">
      <c r="A60" s="23" t="n">
        <v>46316</v>
      </c>
      <c r="B60" s="24" t="n"/>
      <c r="C60" s="24" t="n"/>
      <c r="D60" s="24" t="n"/>
      <c r="E60" s="24" t="n"/>
      <c r="F60" s="24" t="n"/>
      <c r="G60" s="24" t="n"/>
      <c r="H60" s="24" t="n"/>
      <c r="I60" s="24" t="n"/>
      <c r="J60" s="24" t="n"/>
      <c r="K60" s="12">
        <f>I60-B60-J60</f>
        <v/>
      </c>
      <c r="L60" s="12">
        <f>IFERROR(B60/C60,"")</f>
        <v/>
      </c>
      <c r="M60" s="12">
        <f>IFERROR(B60/D60,"")</f>
        <v/>
      </c>
      <c r="N60" s="12">
        <f>ROUND(I60*$S$6,0)</f>
        <v/>
      </c>
      <c r="O60" s="25">
        <f>IF(A60&gt;TODAY(),"—",IF(SUM(B60:J60)=0,"⬜ ยังไม่บันทึก",IF(AND(D60&gt;=$S$4,IFERROR(B60/D60,0)&lt;=$S$5),"✅ ผ่าน","⚠️ ต้องปรับ")))</f>
        <v/>
      </c>
      <c r="P60" s="26" t="n"/>
    </row>
    <row r="61">
      <c r="A61" s="23" t="n">
        <v>46317</v>
      </c>
      <c r="B61" s="24" t="n"/>
      <c r="C61" s="24" t="n"/>
      <c r="D61" s="24" t="n"/>
      <c r="E61" s="24" t="n"/>
      <c r="F61" s="24" t="n"/>
      <c r="G61" s="24" t="n"/>
      <c r="H61" s="24" t="n"/>
      <c r="I61" s="24" t="n"/>
      <c r="J61" s="24" t="n"/>
      <c r="K61" s="12">
        <f>I61-B61-J61</f>
        <v/>
      </c>
      <c r="L61" s="12">
        <f>IFERROR(B61/C61,"")</f>
        <v/>
      </c>
      <c r="M61" s="12">
        <f>IFERROR(B61/D61,"")</f>
        <v/>
      </c>
      <c r="N61" s="12">
        <f>ROUND(I61*$S$6,0)</f>
        <v/>
      </c>
      <c r="O61" s="25">
        <f>IF(A61&gt;TODAY(),"—",IF(SUM(B61:J61)=0,"⬜ ยังไม่บันทึก",IF(AND(D61&gt;=$S$4,IFERROR(B61/D61,0)&lt;=$S$5),"✅ ผ่าน","⚠️ ต้องปรับ")))</f>
        <v/>
      </c>
      <c r="P61" s="26" t="n"/>
    </row>
    <row r="62">
      <c r="A62" s="23" t="n">
        <v>46318</v>
      </c>
      <c r="B62" s="24" t="n"/>
      <c r="C62" s="24" t="n"/>
      <c r="D62" s="24" t="n"/>
      <c r="E62" s="24" t="n"/>
      <c r="F62" s="24" t="n"/>
      <c r="G62" s="24" t="n"/>
      <c r="H62" s="24" t="n"/>
      <c r="I62" s="24" t="n"/>
      <c r="J62" s="24" t="n"/>
      <c r="K62" s="12">
        <f>I62-B62-J62</f>
        <v/>
      </c>
      <c r="L62" s="12">
        <f>IFERROR(B62/C62,"")</f>
        <v/>
      </c>
      <c r="M62" s="12">
        <f>IFERROR(B62/D62,"")</f>
        <v/>
      </c>
      <c r="N62" s="12">
        <f>ROUND(I62*$S$6,0)</f>
        <v/>
      </c>
      <c r="O62" s="25">
        <f>IF(A62&gt;TODAY(),"—",IF(SUM(B62:J62)=0,"⬜ ยังไม่บันทึก",IF(AND(D62&gt;=$S$4,IFERROR(B62/D62,0)&lt;=$S$5),"✅ ผ่าน","⚠️ ต้องปรับ")))</f>
        <v/>
      </c>
      <c r="P62" s="26" t="n"/>
    </row>
    <row r="63">
      <c r="A63" s="23" t="n">
        <v>46319</v>
      </c>
      <c r="B63" s="24" t="n"/>
      <c r="C63" s="24" t="n"/>
      <c r="D63" s="24" t="n"/>
      <c r="E63" s="24" t="n"/>
      <c r="F63" s="24" t="n"/>
      <c r="G63" s="24" t="n"/>
      <c r="H63" s="24" t="n"/>
      <c r="I63" s="24" t="n"/>
      <c r="J63" s="24" t="n"/>
      <c r="K63" s="12">
        <f>I63-B63-J63</f>
        <v/>
      </c>
      <c r="L63" s="12">
        <f>IFERROR(B63/C63,"")</f>
        <v/>
      </c>
      <c r="M63" s="12">
        <f>IFERROR(B63/D63,"")</f>
        <v/>
      </c>
      <c r="N63" s="12">
        <f>ROUND(I63*$S$6,0)</f>
        <v/>
      </c>
      <c r="O63" s="25">
        <f>IF(A63&gt;TODAY(),"—",IF(SUM(B63:J63)=0,"⬜ ยังไม่บันทึก",IF(AND(D63&gt;=$S$4,IFERROR(B63/D63,0)&lt;=$S$5),"✅ ผ่าน","⚠️ ต้องปรับ")))</f>
        <v/>
      </c>
      <c r="P63" s="26" t="n"/>
    </row>
    <row r="64">
      <c r="A64" s="23" t="n">
        <v>46320</v>
      </c>
      <c r="B64" s="24" t="n"/>
      <c r="C64" s="24" t="n"/>
      <c r="D64" s="24" t="n"/>
      <c r="E64" s="24" t="n"/>
      <c r="F64" s="24" t="n"/>
      <c r="G64" s="24" t="n"/>
      <c r="H64" s="24" t="n"/>
      <c r="I64" s="24" t="n"/>
      <c r="J64" s="24" t="n"/>
      <c r="K64" s="12">
        <f>I64-B64-J64</f>
        <v/>
      </c>
      <c r="L64" s="12">
        <f>IFERROR(B64/C64,"")</f>
        <v/>
      </c>
      <c r="M64" s="12">
        <f>IFERROR(B64/D64,"")</f>
        <v/>
      </c>
      <c r="N64" s="12">
        <f>ROUND(I64*$S$6,0)</f>
        <v/>
      </c>
      <c r="O64" s="25">
        <f>IF(A64&gt;TODAY(),"—",IF(SUM(B64:J64)=0,"⬜ ยังไม่บันทึก",IF(AND(D64&gt;=$S$4,IFERROR(B64/D64,0)&lt;=$S$5),"✅ ผ่าน","⚠️ ต้องปรับ")))</f>
        <v/>
      </c>
      <c r="P64" s="26" t="n"/>
    </row>
    <row r="65">
      <c r="A65" s="23" t="n">
        <v>46321</v>
      </c>
      <c r="B65" s="24" t="n"/>
      <c r="C65" s="24" t="n"/>
      <c r="D65" s="24" t="n"/>
      <c r="E65" s="24" t="n"/>
      <c r="F65" s="24" t="n"/>
      <c r="G65" s="24" t="n"/>
      <c r="H65" s="24" t="n"/>
      <c r="I65" s="24" t="n"/>
      <c r="J65" s="24" t="n"/>
      <c r="K65" s="12">
        <f>I65-B65-J65</f>
        <v/>
      </c>
      <c r="L65" s="12">
        <f>IFERROR(B65/C65,"")</f>
        <v/>
      </c>
      <c r="M65" s="12">
        <f>IFERROR(B65/D65,"")</f>
        <v/>
      </c>
      <c r="N65" s="12">
        <f>ROUND(I65*$S$6,0)</f>
        <v/>
      </c>
      <c r="O65" s="25">
        <f>IF(A65&gt;TODAY(),"—",IF(SUM(B65:J65)=0,"⬜ ยังไม่บันทึก",IF(AND(D65&gt;=$S$4,IFERROR(B65/D65,0)&lt;=$S$5),"✅ ผ่าน","⚠️ ต้องปรับ")))</f>
        <v/>
      </c>
      <c r="P65" s="26" t="n"/>
    </row>
    <row r="66">
      <c r="A66" s="23" t="n">
        <v>46322</v>
      </c>
      <c r="B66" s="24" t="n"/>
      <c r="C66" s="24" t="n"/>
      <c r="D66" s="24" t="n"/>
      <c r="E66" s="24" t="n"/>
      <c r="F66" s="24" t="n"/>
      <c r="G66" s="24" t="n"/>
      <c r="H66" s="24" t="n"/>
      <c r="I66" s="24" t="n"/>
      <c r="J66" s="24" t="n"/>
      <c r="K66" s="12">
        <f>I66-B66-J66</f>
        <v/>
      </c>
      <c r="L66" s="12">
        <f>IFERROR(B66/C66,"")</f>
        <v/>
      </c>
      <c r="M66" s="12">
        <f>IFERROR(B66/D66,"")</f>
        <v/>
      </c>
      <c r="N66" s="12">
        <f>ROUND(I66*$S$6,0)</f>
        <v/>
      </c>
      <c r="O66" s="25">
        <f>IF(A66&gt;TODAY(),"—",IF(SUM(B66:J66)=0,"⬜ ยังไม่บันทึก",IF(AND(D66&gt;=$S$4,IFERROR(B66/D66,0)&lt;=$S$5),"✅ ผ่าน","⚠️ ต้องปรับ")))</f>
        <v/>
      </c>
      <c r="P66" s="26" t="n"/>
    </row>
    <row r="67">
      <c r="A67" s="23" t="n">
        <v>46323</v>
      </c>
      <c r="B67" s="24" t="n"/>
      <c r="C67" s="24" t="n"/>
      <c r="D67" s="24" t="n"/>
      <c r="E67" s="24" t="n"/>
      <c r="F67" s="24" t="n"/>
      <c r="G67" s="24" t="n"/>
      <c r="H67" s="24" t="n"/>
      <c r="I67" s="24" t="n"/>
      <c r="J67" s="24" t="n"/>
      <c r="K67" s="12">
        <f>I67-B67-J67</f>
        <v/>
      </c>
      <c r="L67" s="12">
        <f>IFERROR(B67/C67,"")</f>
        <v/>
      </c>
      <c r="M67" s="12">
        <f>IFERROR(B67/D67,"")</f>
        <v/>
      </c>
      <c r="N67" s="12">
        <f>ROUND(I67*$S$6,0)</f>
        <v/>
      </c>
      <c r="O67" s="25">
        <f>IF(A67&gt;TODAY(),"—",IF(SUM(B67:J67)=0,"⬜ ยังไม่บันทึก",IF(AND(D67&gt;=$S$4,IFERROR(B67/D67,0)&lt;=$S$5),"✅ ผ่าน","⚠️ ต้องปรับ")))</f>
        <v/>
      </c>
      <c r="P67" s="26" t="n"/>
    </row>
    <row r="68">
      <c r="A68" s="23" t="n">
        <v>46324</v>
      </c>
      <c r="B68" s="24" t="n"/>
      <c r="C68" s="24" t="n"/>
      <c r="D68" s="24" t="n"/>
      <c r="E68" s="24" t="n"/>
      <c r="F68" s="24" t="n"/>
      <c r="G68" s="24" t="n"/>
      <c r="H68" s="24" t="n"/>
      <c r="I68" s="24" t="n"/>
      <c r="J68" s="24" t="n"/>
      <c r="K68" s="12">
        <f>I68-B68-J68</f>
        <v/>
      </c>
      <c r="L68" s="12">
        <f>IFERROR(B68/C68,"")</f>
        <v/>
      </c>
      <c r="M68" s="12">
        <f>IFERROR(B68/D68,"")</f>
        <v/>
      </c>
      <c r="N68" s="12">
        <f>ROUND(I68*$S$6,0)</f>
        <v/>
      </c>
      <c r="O68" s="25">
        <f>IF(A68&gt;TODAY(),"—",IF(SUM(B68:J68)=0,"⬜ ยังไม่บันทึก",IF(AND(D68&gt;=$S$4,IFERROR(B68/D68,0)&lt;=$S$5),"✅ ผ่าน","⚠️ ต้องปรับ")))</f>
        <v/>
      </c>
      <c r="P68" s="26" t="n"/>
    </row>
    <row r="69">
      <c r="A69" s="23" t="n">
        <v>46325</v>
      </c>
      <c r="B69" s="24" t="n"/>
      <c r="C69" s="24" t="n"/>
      <c r="D69" s="24" t="n"/>
      <c r="E69" s="24" t="n"/>
      <c r="F69" s="24" t="n"/>
      <c r="G69" s="24" t="n"/>
      <c r="H69" s="24" t="n"/>
      <c r="I69" s="24" t="n"/>
      <c r="J69" s="24" t="n"/>
      <c r="K69" s="12">
        <f>I69-B69-J69</f>
        <v/>
      </c>
      <c r="L69" s="12">
        <f>IFERROR(B69/C69,"")</f>
        <v/>
      </c>
      <c r="M69" s="12">
        <f>IFERROR(B69/D69,"")</f>
        <v/>
      </c>
      <c r="N69" s="12">
        <f>ROUND(I69*$S$6,0)</f>
        <v/>
      </c>
      <c r="O69" s="25">
        <f>IF(A69&gt;TODAY(),"—",IF(SUM(B69:J69)=0,"⬜ ยังไม่บันทึก",IF(AND(D69&gt;=$S$4,IFERROR(B69/D69,0)&lt;=$S$5),"✅ ผ่าน","⚠️ ต้องปรับ")))</f>
        <v/>
      </c>
      <c r="P69" s="26" t="n"/>
    </row>
    <row r="70">
      <c r="A70" s="23" t="n">
        <v>46326</v>
      </c>
      <c r="B70" s="24" t="n"/>
      <c r="C70" s="24" t="n"/>
      <c r="D70" s="24" t="n"/>
      <c r="E70" s="24" t="n"/>
      <c r="F70" s="24" t="n"/>
      <c r="G70" s="24" t="n"/>
      <c r="H70" s="24" t="n"/>
      <c r="I70" s="24" t="n"/>
      <c r="J70" s="24" t="n"/>
      <c r="K70" s="12">
        <f>I70-B70-J70</f>
        <v/>
      </c>
      <c r="L70" s="12">
        <f>IFERROR(B70/C70,"")</f>
        <v/>
      </c>
      <c r="M70" s="12">
        <f>IFERROR(B70/D70,"")</f>
        <v/>
      </c>
      <c r="N70" s="12">
        <f>ROUND(I70*$S$6,0)</f>
        <v/>
      </c>
      <c r="O70" s="25">
        <f>IF(A70&gt;TODAY(),"—",IF(SUM(B70:J70)=0,"⬜ ยังไม่บันทึก",IF(AND(D70&gt;=$S$4,IFERROR(B70/D70,0)&lt;=$S$5),"✅ ผ่าน","⚠️ ต้องปรับ")))</f>
        <v/>
      </c>
      <c r="P70" s="26" t="n"/>
    </row>
    <row r="71">
      <c r="A71" s="31" t="n">
        <v>46327</v>
      </c>
      <c r="B71" s="24" t="n"/>
      <c r="C71" s="24" t="n"/>
      <c r="D71" s="24" t="n"/>
      <c r="E71" s="24" t="n"/>
      <c r="F71" s="24" t="n"/>
      <c r="G71" s="24" t="n"/>
      <c r="H71" s="24" t="n"/>
      <c r="I71" s="24" t="n"/>
      <c r="J71" s="24" t="n"/>
      <c r="K71" s="12">
        <f>I71-B71-J71</f>
        <v/>
      </c>
      <c r="L71" s="12">
        <f>IFERROR(B71/C71,"")</f>
        <v/>
      </c>
      <c r="M71" s="12">
        <f>IFERROR(B71/D71,"")</f>
        <v/>
      </c>
      <c r="N71" s="12">
        <f>ROUND(I71*$S$6,0)</f>
        <v/>
      </c>
      <c r="O71" s="25">
        <f>IF(A71&gt;TODAY(),"—",IF(SUM(B71:J71)=0,"⬜ ยังไม่บันทึก",IF(AND(D71&gt;=$S$4,IFERROR(B71/D71,0)&lt;=$S$5),"✅ ผ่าน","⚠️ ต้องปรับ")))</f>
        <v/>
      </c>
      <c r="P71" s="26" t="n"/>
    </row>
    <row r="72">
      <c r="A72" s="23" t="n">
        <v>46328</v>
      </c>
      <c r="B72" s="24" t="n"/>
      <c r="C72" s="24" t="n"/>
      <c r="D72" s="24" t="n"/>
      <c r="E72" s="24" t="n"/>
      <c r="F72" s="24" t="n"/>
      <c r="G72" s="24" t="n"/>
      <c r="H72" s="24" t="n"/>
      <c r="I72" s="24" t="n"/>
      <c r="J72" s="24" t="n"/>
      <c r="K72" s="12">
        <f>I72-B72-J72</f>
        <v/>
      </c>
      <c r="L72" s="12">
        <f>IFERROR(B72/C72,"")</f>
        <v/>
      </c>
      <c r="M72" s="12">
        <f>IFERROR(B72/D72,"")</f>
        <v/>
      </c>
      <c r="N72" s="12">
        <f>ROUND(I72*$S$6,0)</f>
        <v/>
      </c>
      <c r="O72" s="25">
        <f>IF(A72&gt;TODAY(),"—",IF(SUM(B72:J72)=0,"⬜ ยังไม่บันทึก",IF(AND(D72&gt;=$S$4,IFERROR(B72/D72,0)&lt;=$S$5),"✅ ผ่าน","⚠️ ต้องปรับ")))</f>
        <v/>
      </c>
      <c r="P72" s="26" t="n"/>
    </row>
    <row r="73">
      <c r="A73" s="23" t="n">
        <v>46329</v>
      </c>
      <c r="B73" s="24" t="n"/>
      <c r="C73" s="24" t="n"/>
      <c r="D73" s="24" t="n"/>
      <c r="E73" s="24" t="n"/>
      <c r="F73" s="24" t="n"/>
      <c r="G73" s="24" t="n"/>
      <c r="H73" s="24" t="n"/>
      <c r="I73" s="24" t="n"/>
      <c r="J73" s="24" t="n"/>
      <c r="K73" s="12">
        <f>I73-B73-J73</f>
        <v/>
      </c>
      <c r="L73" s="12">
        <f>IFERROR(B73/C73,"")</f>
        <v/>
      </c>
      <c r="M73" s="12">
        <f>IFERROR(B73/D73,"")</f>
        <v/>
      </c>
      <c r="N73" s="12">
        <f>ROUND(I73*$S$6,0)</f>
        <v/>
      </c>
      <c r="O73" s="25">
        <f>IF(A73&gt;TODAY(),"—",IF(SUM(B73:J73)=0,"⬜ ยังไม่บันทึก",IF(AND(D73&gt;=$S$4,IFERROR(B73/D73,0)&lt;=$S$5),"✅ ผ่าน","⚠️ ต้องปรับ")))</f>
        <v/>
      </c>
      <c r="P73" s="26" t="n"/>
    </row>
    <row r="74">
      <c r="A74" s="23" t="n">
        <v>46330</v>
      </c>
      <c r="B74" s="24" t="n"/>
      <c r="C74" s="24" t="n"/>
      <c r="D74" s="24" t="n"/>
      <c r="E74" s="24" t="n"/>
      <c r="F74" s="24" t="n"/>
      <c r="G74" s="24" t="n"/>
      <c r="H74" s="24" t="n"/>
      <c r="I74" s="24" t="n"/>
      <c r="J74" s="24" t="n"/>
      <c r="K74" s="12">
        <f>I74-B74-J74</f>
        <v/>
      </c>
      <c r="L74" s="12">
        <f>IFERROR(B74/C74,"")</f>
        <v/>
      </c>
      <c r="M74" s="12">
        <f>IFERROR(B74/D74,"")</f>
        <v/>
      </c>
      <c r="N74" s="12">
        <f>ROUND(I74*$S$6,0)</f>
        <v/>
      </c>
      <c r="O74" s="25">
        <f>IF(A74&gt;TODAY(),"—",IF(SUM(B74:J74)=0,"⬜ ยังไม่บันทึก",IF(AND(D74&gt;=$S$4,IFERROR(B74/D74,0)&lt;=$S$5),"✅ ผ่าน","⚠️ ต้องปรับ")))</f>
        <v/>
      </c>
      <c r="P74" s="26" t="n"/>
    </row>
    <row r="75">
      <c r="A75" s="23" t="n">
        <v>46331</v>
      </c>
      <c r="B75" s="24" t="n"/>
      <c r="C75" s="24" t="n"/>
      <c r="D75" s="24" t="n"/>
      <c r="E75" s="24" t="n"/>
      <c r="F75" s="24" t="n"/>
      <c r="G75" s="24" t="n"/>
      <c r="H75" s="24" t="n"/>
      <c r="I75" s="24" t="n"/>
      <c r="J75" s="24" t="n"/>
      <c r="K75" s="12">
        <f>I75-B75-J75</f>
        <v/>
      </c>
      <c r="L75" s="12">
        <f>IFERROR(B75/C75,"")</f>
        <v/>
      </c>
      <c r="M75" s="12">
        <f>IFERROR(B75/D75,"")</f>
        <v/>
      </c>
      <c r="N75" s="12">
        <f>ROUND(I75*$S$6,0)</f>
        <v/>
      </c>
      <c r="O75" s="25">
        <f>IF(A75&gt;TODAY(),"—",IF(SUM(B75:J75)=0,"⬜ ยังไม่บันทึก",IF(AND(D75&gt;=$S$4,IFERROR(B75/D75,0)&lt;=$S$5),"✅ ผ่าน","⚠️ ต้องปรับ")))</f>
        <v/>
      </c>
      <c r="P75" s="26" t="n"/>
    </row>
    <row r="76">
      <c r="A76" s="23" t="n">
        <v>46332</v>
      </c>
      <c r="B76" s="24" t="n"/>
      <c r="C76" s="24" t="n"/>
      <c r="D76" s="24" t="n"/>
      <c r="E76" s="24" t="n"/>
      <c r="F76" s="24" t="n"/>
      <c r="G76" s="24" t="n"/>
      <c r="H76" s="24" t="n"/>
      <c r="I76" s="24" t="n"/>
      <c r="J76" s="24" t="n"/>
      <c r="K76" s="12">
        <f>I76-B76-J76</f>
        <v/>
      </c>
      <c r="L76" s="12">
        <f>IFERROR(B76/C76,"")</f>
        <v/>
      </c>
      <c r="M76" s="12">
        <f>IFERROR(B76/D76,"")</f>
        <v/>
      </c>
      <c r="N76" s="12">
        <f>ROUND(I76*$S$6,0)</f>
        <v/>
      </c>
      <c r="O76" s="25">
        <f>IF(A76&gt;TODAY(),"—",IF(SUM(B76:J76)=0,"⬜ ยังไม่บันทึก",IF(AND(D76&gt;=$S$4,IFERROR(B76/D76,0)&lt;=$S$5),"✅ ผ่าน","⚠️ ต้องปรับ")))</f>
        <v/>
      </c>
      <c r="P76" s="26" t="n"/>
    </row>
    <row r="77">
      <c r="A77" s="23" t="n">
        <v>46333</v>
      </c>
      <c r="B77" s="24" t="n"/>
      <c r="C77" s="24" t="n"/>
      <c r="D77" s="24" t="n"/>
      <c r="E77" s="24" t="n"/>
      <c r="F77" s="24" t="n"/>
      <c r="G77" s="24" t="n"/>
      <c r="H77" s="24" t="n"/>
      <c r="I77" s="24" t="n"/>
      <c r="J77" s="24" t="n"/>
      <c r="K77" s="12">
        <f>I77-B77-J77</f>
        <v/>
      </c>
      <c r="L77" s="12">
        <f>IFERROR(B77/C77,"")</f>
        <v/>
      </c>
      <c r="M77" s="12">
        <f>IFERROR(B77/D77,"")</f>
        <v/>
      </c>
      <c r="N77" s="12">
        <f>ROUND(I77*$S$6,0)</f>
        <v/>
      </c>
      <c r="O77" s="25">
        <f>IF(A77&gt;TODAY(),"—",IF(SUM(B77:J77)=0,"⬜ ยังไม่บันทึก",IF(AND(D77&gt;=$S$4,IFERROR(B77/D77,0)&lt;=$S$5),"✅ ผ่าน","⚠️ ต้องปรับ")))</f>
        <v/>
      </c>
      <c r="P77" s="26" t="n"/>
    </row>
    <row r="78">
      <c r="A78" s="23" t="n">
        <v>46334</v>
      </c>
      <c r="B78" s="24" t="n"/>
      <c r="C78" s="24" t="n"/>
      <c r="D78" s="24" t="n"/>
      <c r="E78" s="24" t="n"/>
      <c r="F78" s="24" t="n"/>
      <c r="G78" s="24" t="n"/>
      <c r="H78" s="24" t="n"/>
      <c r="I78" s="24" t="n"/>
      <c r="J78" s="24" t="n"/>
      <c r="K78" s="12">
        <f>I78-B78-J78</f>
        <v/>
      </c>
      <c r="L78" s="12">
        <f>IFERROR(B78/C78,"")</f>
        <v/>
      </c>
      <c r="M78" s="12">
        <f>IFERROR(B78/D78,"")</f>
        <v/>
      </c>
      <c r="N78" s="12">
        <f>ROUND(I78*$S$6,0)</f>
        <v/>
      </c>
      <c r="O78" s="25">
        <f>IF(A78&gt;TODAY(),"—",IF(SUM(B78:J78)=0,"⬜ ยังไม่บันทึก",IF(AND(D78&gt;=$S$4,IFERROR(B78/D78,0)&lt;=$S$5),"✅ ผ่าน","⚠️ ต้องปรับ")))</f>
        <v/>
      </c>
      <c r="P78" s="26" t="n"/>
    </row>
    <row r="79">
      <c r="A79" s="23" t="n">
        <v>46335</v>
      </c>
      <c r="B79" s="24" t="n"/>
      <c r="C79" s="24" t="n"/>
      <c r="D79" s="24" t="n"/>
      <c r="E79" s="24" t="n"/>
      <c r="F79" s="24" t="n"/>
      <c r="G79" s="24" t="n"/>
      <c r="H79" s="24" t="n"/>
      <c r="I79" s="24" t="n"/>
      <c r="J79" s="24" t="n"/>
      <c r="K79" s="12">
        <f>I79-B79-J79</f>
        <v/>
      </c>
      <c r="L79" s="12">
        <f>IFERROR(B79/C79,"")</f>
        <v/>
      </c>
      <c r="M79" s="12">
        <f>IFERROR(B79/D79,"")</f>
        <v/>
      </c>
      <c r="N79" s="12">
        <f>ROUND(I79*$S$6,0)</f>
        <v/>
      </c>
      <c r="O79" s="25">
        <f>IF(A79&gt;TODAY(),"—",IF(SUM(B79:J79)=0,"⬜ ยังไม่บันทึก",IF(AND(D79&gt;=$S$4,IFERROR(B79/D79,0)&lt;=$S$5),"✅ ผ่าน","⚠️ ต้องปรับ")))</f>
        <v/>
      </c>
      <c r="P79" s="26" t="n"/>
    </row>
    <row r="80">
      <c r="A80" s="23" t="n">
        <v>46336</v>
      </c>
      <c r="B80" s="24" t="n"/>
      <c r="C80" s="24" t="n"/>
      <c r="D80" s="24" t="n"/>
      <c r="E80" s="24" t="n"/>
      <c r="F80" s="24" t="n"/>
      <c r="G80" s="24" t="n"/>
      <c r="H80" s="24" t="n"/>
      <c r="I80" s="24" t="n"/>
      <c r="J80" s="24" t="n"/>
      <c r="K80" s="12">
        <f>I80-B80-J80</f>
        <v/>
      </c>
      <c r="L80" s="12">
        <f>IFERROR(B80/C80,"")</f>
        <v/>
      </c>
      <c r="M80" s="12">
        <f>IFERROR(B80/D80,"")</f>
        <v/>
      </c>
      <c r="N80" s="12">
        <f>ROUND(I80*$S$6,0)</f>
        <v/>
      </c>
      <c r="O80" s="25">
        <f>IF(A80&gt;TODAY(),"—",IF(SUM(B80:J80)=0,"⬜ ยังไม่บันทึก",IF(AND(D80&gt;=$S$4,IFERROR(B80/D80,0)&lt;=$S$5),"✅ ผ่าน","⚠️ ต้องปรับ")))</f>
        <v/>
      </c>
      <c r="P80" s="26" t="n"/>
    </row>
    <row r="81">
      <c r="A81" s="23" t="n">
        <v>46337</v>
      </c>
      <c r="B81" s="24" t="n"/>
      <c r="C81" s="24" t="n"/>
      <c r="D81" s="24" t="n"/>
      <c r="E81" s="24" t="n"/>
      <c r="F81" s="24" t="n"/>
      <c r="G81" s="24" t="n"/>
      <c r="H81" s="24" t="n"/>
      <c r="I81" s="24" t="n"/>
      <c r="J81" s="24" t="n"/>
      <c r="K81" s="12">
        <f>I81-B81-J81</f>
        <v/>
      </c>
      <c r="L81" s="12">
        <f>IFERROR(B81/C81,"")</f>
        <v/>
      </c>
      <c r="M81" s="12">
        <f>IFERROR(B81/D81,"")</f>
        <v/>
      </c>
      <c r="N81" s="12">
        <f>ROUND(I81*$S$6,0)</f>
        <v/>
      </c>
      <c r="O81" s="25">
        <f>IF(A81&gt;TODAY(),"—",IF(SUM(B81:J81)=0,"⬜ ยังไม่บันทึก",IF(AND(D81&gt;=$S$4,IFERROR(B81/D81,0)&lt;=$S$5),"✅ ผ่าน","⚠️ ต้องปรับ")))</f>
        <v/>
      </c>
      <c r="P81" s="26" t="n"/>
    </row>
    <row r="82">
      <c r="A82" s="23" t="n">
        <v>46338</v>
      </c>
      <c r="B82" s="24" t="n"/>
      <c r="C82" s="24" t="n"/>
      <c r="D82" s="24" t="n"/>
      <c r="E82" s="24" t="n"/>
      <c r="F82" s="24" t="n"/>
      <c r="G82" s="24" t="n"/>
      <c r="H82" s="24" t="n"/>
      <c r="I82" s="24" t="n"/>
      <c r="J82" s="24" t="n"/>
      <c r="K82" s="12">
        <f>I82-B82-J82</f>
        <v/>
      </c>
      <c r="L82" s="12">
        <f>IFERROR(B82/C82,"")</f>
        <v/>
      </c>
      <c r="M82" s="12">
        <f>IFERROR(B82/D82,"")</f>
        <v/>
      </c>
      <c r="N82" s="12">
        <f>ROUND(I82*$S$6,0)</f>
        <v/>
      </c>
      <c r="O82" s="25">
        <f>IF(A82&gt;TODAY(),"—",IF(SUM(B82:J82)=0,"⬜ ยังไม่บันทึก",IF(AND(D82&gt;=$S$4,IFERROR(B82/D82,0)&lt;=$S$5),"✅ ผ่าน","⚠️ ต้องปรับ")))</f>
        <v/>
      </c>
      <c r="P82" s="26" t="n"/>
    </row>
    <row r="83">
      <c r="A83" s="23" t="n">
        <v>46339</v>
      </c>
      <c r="B83" s="24" t="n"/>
      <c r="C83" s="24" t="n"/>
      <c r="D83" s="24" t="n"/>
      <c r="E83" s="24" t="n"/>
      <c r="F83" s="24" t="n"/>
      <c r="G83" s="24" t="n"/>
      <c r="H83" s="24" t="n"/>
      <c r="I83" s="24" t="n"/>
      <c r="J83" s="24" t="n"/>
      <c r="K83" s="12">
        <f>I83-B83-J83</f>
        <v/>
      </c>
      <c r="L83" s="12">
        <f>IFERROR(B83/C83,"")</f>
        <v/>
      </c>
      <c r="M83" s="12">
        <f>IFERROR(B83/D83,"")</f>
        <v/>
      </c>
      <c r="N83" s="12">
        <f>ROUND(I83*$S$6,0)</f>
        <v/>
      </c>
      <c r="O83" s="25">
        <f>IF(A83&gt;TODAY(),"—",IF(SUM(B83:J83)=0,"⬜ ยังไม่บันทึก",IF(AND(D83&gt;=$S$4,IFERROR(B83/D83,0)&lt;=$S$5),"✅ ผ่าน","⚠️ ต้องปรับ")))</f>
        <v/>
      </c>
      <c r="P83" s="26" t="n"/>
    </row>
    <row r="84">
      <c r="A84" s="23" t="n">
        <v>46340</v>
      </c>
      <c r="B84" s="24" t="n"/>
      <c r="C84" s="24" t="n"/>
      <c r="D84" s="24" t="n"/>
      <c r="E84" s="24" t="n"/>
      <c r="F84" s="24" t="n"/>
      <c r="G84" s="24" t="n"/>
      <c r="H84" s="24" t="n"/>
      <c r="I84" s="24" t="n"/>
      <c r="J84" s="24" t="n"/>
      <c r="K84" s="12">
        <f>I84-B84-J84</f>
        <v/>
      </c>
      <c r="L84" s="12">
        <f>IFERROR(B84/C84,"")</f>
        <v/>
      </c>
      <c r="M84" s="12">
        <f>IFERROR(B84/D84,"")</f>
        <v/>
      </c>
      <c r="N84" s="12">
        <f>ROUND(I84*$S$6,0)</f>
        <v/>
      </c>
      <c r="O84" s="25">
        <f>IF(A84&gt;TODAY(),"—",IF(SUM(B84:J84)=0,"⬜ ยังไม่บันทึก",IF(AND(D84&gt;=$S$4,IFERROR(B84/D84,0)&lt;=$S$5),"✅ ผ่าน","⚠️ ต้องปรับ")))</f>
        <v/>
      </c>
      <c r="P84" s="26" t="n"/>
    </row>
    <row r="85">
      <c r="A85" s="23" t="n">
        <v>46341</v>
      </c>
      <c r="B85" s="24" t="n"/>
      <c r="C85" s="24" t="n"/>
      <c r="D85" s="24" t="n"/>
      <c r="E85" s="24" t="n"/>
      <c r="F85" s="24" t="n"/>
      <c r="G85" s="24" t="n"/>
      <c r="H85" s="24" t="n"/>
      <c r="I85" s="24" t="n"/>
      <c r="J85" s="24" t="n"/>
      <c r="K85" s="12">
        <f>I85-B85-J85</f>
        <v/>
      </c>
      <c r="L85" s="12">
        <f>IFERROR(B85/C85,"")</f>
        <v/>
      </c>
      <c r="M85" s="12">
        <f>IFERROR(B85/D85,"")</f>
        <v/>
      </c>
      <c r="N85" s="12">
        <f>ROUND(I85*$S$6,0)</f>
        <v/>
      </c>
      <c r="O85" s="25">
        <f>IF(A85&gt;TODAY(),"—",IF(SUM(B85:J85)=0,"⬜ ยังไม่บันทึก",IF(AND(D85&gt;=$S$4,IFERROR(B85/D85,0)&lt;=$S$5),"✅ ผ่าน","⚠️ ต้องปรับ")))</f>
        <v/>
      </c>
      <c r="P85" s="26" t="n"/>
    </row>
    <row r="86">
      <c r="A86" s="23" t="n">
        <v>46342</v>
      </c>
      <c r="B86" s="24" t="n"/>
      <c r="C86" s="24" t="n"/>
      <c r="D86" s="24" t="n"/>
      <c r="E86" s="24" t="n"/>
      <c r="F86" s="24" t="n"/>
      <c r="G86" s="24" t="n"/>
      <c r="H86" s="24" t="n"/>
      <c r="I86" s="24" t="n"/>
      <c r="J86" s="24" t="n"/>
      <c r="K86" s="12">
        <f>I86-B86-J86</f>
        <v/>
      </c>
      <c r="L86" s="12">
        <f>IFERROR(B86/C86,"")</f>
        <v/>
      </c>
      <c r="M86" s="12">
        <f>IFERROR(B86/D86,"")</f>
        <v/>
      </c>
      <c r="N86" s="12">
        <f>ROUND(I86*$S$6,0)</f>
        <v/>
      </c>
      <c r="O86" s="25">
        <f>IF(A86&gt;TODAY(),"—",IF(SUM(B86:J86)=0,"⬜ ยังไม่บันทึก",IF(AND(D86&gt;=$S$4,IFERROR(B86/D86,0)&lt;=$S$5),"✅ ผ่าน","⚠️ ต้องปรับ")))</f>
        <v/>
      </c>
      <c r="P86" s="26" t="n"/>
    </row>
    <row r="87">
      <c r="A87" s="23" t="n">
        <v>46343</v>
      </c>
      <c r="B87" s="24" t="n"/>
      <c r="C87" s="24" t="n"/>
      <c r="D87" s="24" t="n"/>
      <c r="E87" s="24" t="n"/>
      <c r="F87" s="24" t="n"/>
      <c r="G87" s="24" t="n"/>
      <c r="H87" s="24" t="n"/>
      <c r="I87" s="24" t="n"/>
      <c r="J87" s="24" t="n"/>
      <c r="K87" s="12">
        <f>I87-B87-J87</f>
        <v/>
      </c>
      <c r="L87" s="12">
        <f>IFERROR(B87/C87,"")</f>
        <v/>
      </c>
      <c r="M87" s="12">
        <f>IFERROR(B87/D87,"")</f>
        <v/>
      </c>
      <c r="N87" s="12">
        <f>ROUND(I87*$S$6,0)</f>
        <v/>
      </c>
      <c r="O87" s="25">
        <f>IF(A87&gt;TODAY(),"—",IF(SUM(B87:J87)=0,"⬜ ยังไม่บันทึก",IF(AND(D87&gt;=$S$4,IFERROR(B87/D87,0)&lt;=$S$5),"✅ ผ่าน","⚠️ ต้องปรับ")))</f>
        <v/>
      </c>
      <c r="P87" s="26" t="n"/>
    </row>
    <row r="88">
      <c r="A88" s="23" t="n">
        <v>46344</v>
      </c>
      <c r="B88" s="24" t="n"/>
      <c r="C88" s="24" t="n"/>
      <c r="D88" s="24" t="n"/>
      <c r="E88" s="24" t="n"/>
      <c r="F88" s="24" t="n"/>
      <c r="G88" s="24" t="n"/>
      <c r="H88" s="24" t="n"/>
      <c r="I88" s="24" t="n"/>
      <c r="J88" s="24" t="n"/>
      <c r="K88" s="12">
        <f>I88-B88-J88</f>
        <v/>
      </c>
      <c r="L88" s="12">
        <f>IFERROR(B88/C88,"")</f>
        <v/>
      </c>
      <c r="M88" s="12">
        <f>IFERROR(B88/D88,"")</f>
        <v/>
      </c>
      <c r="N88" s="12">
        <f>ROUND(I88*$S$6,0)</f>
        <v/>
      </c>
      <c r="O88" s="25">
        <f>IF(A88&gt;TODAY(),"—",IF(SUM(B88:J88)=0,"⬜ ยังไม่บันทึก",IF(AND(D88&gt;=$S$4,IFERROR(B88/D88,0)&lt;=$S$5),"✅ ผ่าน","⚠️ ต้องปรับ")))</f>
        <v/>
      </c>
      <c r="P88" s="26" t="n"/>
    </row>
    <row r="89">
      <c r="A89" s="23" t="n">
        <v>46345</v>
      </c>
      <c r="B89" s="24" t="n"/>
      <c r="C89" s="24" t="n"/>
      <c r="D89" s="24" t="n"/>
      <c r="E89" s="24" t="n"/>
      <c r="F89" s="24" t="n"/>
      <c r="G89" s="24" t="n"/>
      <c r="H89" s="24" t="n"/>
      <c r="I89" s="24" t="n"/>
      <c r="J89" s="24" t="n"/>
      <c r="K89" s="12">
        <f>I89-B89-J89</f>
        <v/>
      </c>
      <c r="L89" s="12">
        <f>IFERROR(B89/C89,"")</f>
        <v/>
      </c>
      <c r="M89" s="12">
        <f>IFERROR(B89/D89,"")</f>
        <v/>
      </c>
      <c r="N89" s="12">
        <f>ROUND(I89*$S$6,0)</f>
        <v/>
      </c>
      <c r="O89" s="25">
        <f>IF(A89&gt;TODAY(),"—",IF(SUM(B89:J89)=0,"⬜ ยังไม่บันทึก",IF(AND(D89&gt;=$S$4,IFERROR(B89/D89,0)&lt;=$S$5),"✅ ผ่าน","⚠️ ต้องปรับ")))</f>
        <v/>
      </c>
      <c r="P89" s="26" t="n"/>
    </row>
    <row r="90">
      <c r="A90" s="23" t="n">
        <v>46346</v>
      </c>
      <c r="B90" s="24" t="n"/>
      <c r="C90" s="24" t="n"/>
      <c r="D90" s="24" t="n"/>
      <c r="E90" s="24" t="n"/>
      <c r="F90" s="24" t="n"/>
      <c r="G90" s="24" t="n"/>
      <c r="H90" s="24" t="n"/>
      <c r="I90" s="24" t="n"/>
      <c r="J90" s="24" t="n"/>
      <c r="K90" s="12">
        <f>I90-B90-J90</f>
        <v/>
      </c>
      <c r="L90" s="12">
        <f>IFERROR(B90/C90,"")</f>
        <v/>
      </c>
      <c r="M90" s="12">
        <f>IFERROR(B90/D90,"")</f>
        <v/>
      </c>
      <c r="N90" s="12">
        <f>ROUND(I90*$S$6,0)</f>
        <v/>
      </c>
      <c r="O90" s="25">
        <f>IF(A90&gt;TODAY(),"—",IF(SUM(B90:J90)=0,"⬜ ยังไม่บันทึก",IF(AND(D90&gt;=$S$4,IFERROR(B90/D90,0)&lt;=$S$5),"✅ ผ่าน","⚠️ ต้องปรับ")))</f>
        <v/>
      </c>
      <c r="P90" s="26" t="n"/>
    </row>
    <row r="91">
      <c r="A91" s="23" t="n">
        <v>46347</v>
      </c>
      <c r="B91" s="24" t="n"/>
      <c r="C91" s="24" t="n"/>
      <c r="D91" s="24" t="n"/>
      <c r="E91" s="24" t="n"/>
      <c r="F91" s="24" t="n"/>
      <c r="G91" s="24" t="n"/>
      <c r="H91" s="24" t="n"/>
      <c r="I91" s="24" t="n"/>
      <c r="J91" s="24" t="n"/>
      <c r="K91" s="12">
        <f>I91-B91-J91</f>
        <v/>
      </c>
      <c r="L91" s="12">
        <f>IFERROR(B91/C91,"")</f>
        <v/>
      </c>
      <c r="M91" s="12">
        <f>IFERROR(B91/D91,"")</f>
        <v/>
      </c>
      <c r="N91" s="12">
        <f>ROUND(I91*$S$6,0)</f>
        <v/>
      </c>
      <c r="O91" s="25">
        <f>IF(A91&gt;TODAY(),"—",IF(SUM(B91:J91)=0,"⬜ ยังไม่บันทึก",IF(AND(D91&gt;=$S$4,IFERROR(B91/D91,0)&lt;=$S$5),"✅ ผ่าน","⚠️ ต้องปรับ")))</f>
        <v/>
      </c>
      <c r="P91" s="26" t="n"/>
    </row>
    <row r="92">
      <c r="A92" s="23" t="n">
        <v>46348</v>
      </c>
      <c r="B92" s="24" t="n"/>
      <c r="C92" s="24" t="n"/>
      <c r="D92" s="24" t="n"/>
      <c r="E92" s="24" t="n"/>
      <c r="F92" s="24" t="n"/>
      <c r="G92" s="24" t="n"/>
      <c r="H92" s="24" t="n"/>
      <c r="I92" s="24" t="n"/>
      <c r="J92" s="24" t="n"/>
      <c r="K92" s="12">
        <f>I92-B92-J92</f>
        <v/>
      </c>
      <c r="L92" s="12">
        <f>IFERROR(B92/C92,"")</f>
        <v/>
      </c>
      <c r="M92" s="12">
        <f>IFERROR(B92/D92,"")</f>
        <v/>
      </c>
      <c r="N92" s="12">
        <f>ROUND(I92*$S$6,0)</f>
        <v/>
      </c>
      <c r="O92" s="25">
        <f>IF(A92&gt;TODAY(),"—",IF(SUM(B92:J92)=0,"⬜ ยังไม่บันทึก",IF(AND(D92&gt;=$S$4,IFERROR(B92/D92,0)&lt;=$S$5),"✅ ผ่าน","⚠️ ต้องปรับ")))</f>
        <v/>
      </c>
      <c r="P92" s="26" t="n"/>
    </row>
    <row r="93">
      <c r="A93" s="23" t="n">
        <v>46349</v>
      </c>
      <c r="B93" s="24" t="n"/>
      <c r="C93" s="24" t="n"/>
      <c r="D93" s="24" t="n"/>
      <c r="E93" s="24" t="n"/>
      <c r="F93" s="24" t="n"/>
      <c r="G93" s="24" t="n"/>
      <c r="H93" s="24" t="n"/>
      <c r="I93" s="24" t="n"/>
      <c r="J93" s="24" t="n"/>
      <c r="K93" s="12">
        <f>I93-B93-J93</f>
        <v/>
      </c>
      <c r="L93" s="12">
        <f>IFERROR(B93/C93,"")</f>
        <v/>
      </c>
      <c r="M93" s="12">
        <f>IFERROR(B93/D93,"")</f>
        <v/>
      </c>
      <c r="N93" s="12">
        <f>ROUND(I93*$S$6,0)</f>
        <v/>
      </c>
      <c r="O93" s="25">
        <f>IF(A93&gt;TODAY(),"—",IF(SUM(B93:J93)=0,"⬜ ยังไม่บันทึก",IF(AND(D93&gt;=$S$4,IFERROR(B93/D93,0)&lt;=$S$5),"✅ ผ่าน","⚠️ ต้องปรับ")))</f>
        <v/>
      </c>
      <c r="P93" s="26" t="n"/>
    </row>
    <row r="94">
      <c r="A94" s="23" t="n">
        <v>46350</v>
      </c>
      <c r="B94" s="24" t="n"/>
      <c r="C94" s="24" t="n"/>
      <c r="D94" s="24" t="n"/>
      <c r="E94" s="24" t="n"/>
      <c r="F94" s="24" t="n"/>
      <c r="G94" s="24" t="n"/>
      <c r="H94" s="24" t="n"/>
      <c r="I94" s="24" t="n"/>
      <c r="J94" s="24" t="n"/>
      <c r="K94" s="12">
        <f>I94-B94-J94</f>
        <v/>
      </c>
      <c r="L94" s="12">
        <f>IFERROR(B94/C94,"")</f>
        <v/>
      </c>
      <c r="M94" s="12">
        <f>IFERROR(B94/D94,"")</f>
        <v/>
      </c>
      <c r="N94" s="12">
        <f>ROUND(I94*$S$6,0)</f>
        <v/>
      </c>
      <c r="O94" s="25">
        <f>IF(A94&gt;TODAY(),"—",IF(SUM(B94:J94)=0,"⬜ ยังไม่บันทึก",IF(AND(D94&gt;=$S$4,IFERROR(B94/D94,0)&lt;=$S$5),"✅ ผ่าน","⚠️ ต้องปรับ")))</f>
        <v/>
      </c>
      <c r="P94" s="26" t="n"/>
    </row>
    <row r="95">
      <c r="A95" s="23" t="n">
        <v>46351</v>
      </c>
      <c r="B95" s="24" t="n"/>
      <c r="C95" s="24" t="n"/>
      <c r="D95" s="24" t="n"/>
      <c r="E95" s="24" t="n"/>
      <c r="F95" s="24" t="n"/>
      <c r="G95" s="24" t="n"/>
      <c r="H95" s="24" t="n"/>
      <c r="I95" s="24" t="n"/>
      <c r="J95" s="24" t="n"/>
      <c r="K95" s="12">
        <f>I95-B95-J95</f>
        <v/>
      </c>
      <c r="L95" s="12">
        <f>IFERROR(B95/C95,"")</f>
        <v/>
      </c>
      <c r="M95" s="12">
        <f>IFERROR(B95/D95,"")</f>
        <v/>
      </c>
      <c r="N95" s="12">
        <f>ROUND(I95*$S$6,0)</f>
        <v/>
      </c>
      <c r="O95" s="25">
        <f>IF(A95&gt;TODAY(),"—",IF(SUM(B95:J95)=0,"⬜ ยังไม่บันทึก",IF(AND(D95&gt;=$S$4,IFERROR(B95/D95,0)&lt;=$S$5),"✅ ผ่าน","⚠️ ต้องปรับ")))</f>
        <v/>
      </c>
      <c r="P95" s="26" t="n"/>
    </row>
    <row r="96">
      <c r="A96" s="23" t="n">
        <v>46352</v>
      </c>
      <c r="B96" s="24" t="n"/>
      <c r="C96" s="24" t="n"/>
      <c r="D96" s="24" t="n"/>
      <c r="E96" s="24" t="n"/>
      <c r="F96" s="24" t="n"/>
      <c r="G96" s="24" t="n"/>
      <c r="H96" s="24" t="n"/>
      <c r="I96" s="24" t="n"/>
      <c r="J96" s="24" t="n"/>
      <c r="K96" s="12">
        <f>I96-B96-J96</f>
        <v/>
      </c>
      <c r="L96" s="12">
        <f>IFERROR(B96/C96,"")</f>
        <v/>
      </c>
      <c r="M96" s="12">
        <f>IFERROR(B96/D96,"")</f>
        <v/>
      </c>
      <c r="N96" s="12">
        <f>ROUND(I96*$S$6,0)</f>
        <v/>
      </c>
      <c r="O96" s="25">
        <f>IF(A96&gt;TODAY(),"—",IF(SUM(B96:J96)=0,"⬜ ยังไม่บันทึก",IF(AND(D96&gt;=$S$4,IFERROR(B96/D96,0)&lt;=$S$5),"✅ ผ่าน","⚠️ ต้องปรับ")))</f>
        <v/>
      </c>
      <c r="P96" s="26" t="n"/>
    </row>
    <row r="97">
      <c r="A97" s="23" t="n">
        <v>46353</v>
      </c>
      <c r="B97" s="24" t="n"/>
      <c r="C97" s="24" t="n"/>
      <c r="D97" s="24" t="n"/>
      <c r="E97" s="24" t="n"/>
      <c r="F97" s="24" t="n"/>
      <c r="G97" s="24" t="n"/>
      <c r="H97" s="24" t="n"/>
      <c r="I97" s="24" t="n"/>
      <c r="J97" s="24" t="n"/>
      <c r="K97" s="12">
        <f>I97-B97-J97</f>
        <v/>
      </c>
      <c r="L97" s="12">
        <f>IFERROR(B97/C97,"")</f>
        <v/>
      </c>
      <c r="M97" s="12">
        <f>IFERROR(B97/D97,"")</f>
        <v/>
      </c>
      <c r="N97" s="12">
        <f>ROUND(I97*$S$6,0)</f>
        <v/>
      </c>
      <c r="O97" s="25">
        <f>IF(A97&gt;TODAY(),"—",IF(SUM(B97:J97)=0,"⬜ ยังไม่บันทึก",IF(AND(D97&gt;=$S$4,IFERROR(B97/D97,0)&lt;=$S$5),"✅ ผ่าน","⚠️ ต้องปรับ")))</f>
        <v/>
      </c>
      <c r="P97" s="26" t="n"/>
    </row>
    <row r="98">
      <c r="A98" s="23" t="n">
        <v>46354</v>
      </c>
      <c r="B98" s="24" t="n"/>
      <c r="C98" s="24" t="n"/>
      <c r="D98" s="24" t="n"/>
      <c r="E98" s="24" t="n"/>
      <c r="F98" s="24" t="n"/>
      <c r="G98" s="24" t="n"/>
      <c r="H98" s="24" t="n"/>
      <c r="I98" s="24" t="n"/>
      <c r="J98" s="24" t="n"/>
      <c r="K98" s="12">
        <f>I98-B98-J98</f>
        <v/>
      </c>
      <c r="L98" s="12">
        <f>IFERROR(B98/C98,"")</f>
        <v/>
      </c>
      <c r="M98" s="12">
        <f>IFERROR(B98/D98,"")</f>
        <v/>
      </c>
      <c r="N98" s="12">
        <f>ROUND(I98*$S$6,0)</f>
        <v/>
      </c>
      <c r="O98" s="25">
        <f>IF(A98&gt;TODAY(),"—",IF(SUM(B98:J98)=0,"⬜ ยังไม่บันทึก",IF(AND(D98&gt;=$S$4,IFERROR(B98/D98,0)&lt;=$S$5),"✅ ผ่าน","⚠️ ต้องปรับ")))</f>
        <v/>
      </c>
      <c r="P98" s="26" t="n"/>
    </row>
    <row r="99">
      <c r="A99" s="23" t="n">
        <v>46355</v>
      </c>
      <c r="B99" s="24" t="n"/>
      <c r="C99" s="24" t="n"/>
      <c r="D99" s="24" t="n"/>
      <c r="E99" s="24" t="n"/>
      <c r="F99" s="24" t="n"/>
      <c r="G99" s="24" t="n"/>
      <c r="H99" s="24" t="n"/>
      <c r="I99" s="24" t="n"/>
      <c r="J99" s="24" t="n"/>
      <c r="K99" s="12">
        <f>I99-B99-J99</f>
        <v/>
      </c>
      <c r="L99" s="12">
        <f>IFERROR(B99/C99,"")</f>
        <v/>
      </c>
      <c r="M99" s="12">
        <f>IFERROR(B99/D99,"")</f>
        <v/>
      </c>
      <c r="N99" s="12">
        <f>ROUND(I99*$S$6,0)</f>
        <v/>
      </c>
      <c r="O99" s="25">
        <f>IF(A99&gt;TODAY(),"—",IF(SUM(B99:J99)=0,"⬜ ยังไม่บันทึก",IF(AND(D99&gt;=$S$4,IFERROR(B99/D99,0)&lt;=$S$5),"✅ ผ่าน","⚠️ ต้องปรับ")))</f>
        <v/>
      </c>
      <c r="P99" s="26" t="n"/>
    </row>
    <row r="100">
      <c r="A100" s="23" t="n">
        <v>46356</v>
      </c>
      <c r="B100" s="24" t="n"/>
      <c r="C100" s="24" t="n"/>
      <c r="D100" s="24" t="n"/>
      <c r="E100" s="24" t="n"/>
      <c r="F100" s="24" t="n"/>
      <c r="G100" s="24" t="n"/>
      <c r="H100" s="24" t="n"/>
      <c r="I100" s="24" t="n"/>
      <c r="J100" s="24" t="n"/>
      <c r="K100" s="12">
        <f>I100-B100-J100</f>
        <v/>
      </c>
      <c r="L100" s="12">
        <f>IFERROR(B100/C100,"")</f>
        <v/>
      </c>
      <c r="M100" s="12">
        <f>IFERROR(B100/D100,"")</f>
        <v/>
      </c>
      <c r="N100" s="12">
        <f>ROUND(I100*$S$6,0)</f>
        <v/>
      </c>
      <c r="O100" s="25">
        <f>IF(A100&gt;TODAY(),"—",IF(SUM(B100:J100)=0,"⬜ ยังไม่บันทึก",IF(AND(D100&gt;=$S$4,IFERROR(B100/D100,0)&lt;=$S$5),"✅ ผ่าน","⚠️ ต้องปรับ")))</f>
        <v/>
      </c>
      <c r="P100" s="26" t="n"/>
    </row>
    <row r="101">
      <c r="A101" s="31" t="n">
        <v>46357</v>
      </c>
      <c r="B101" s="24" t="n"/>
      <c r="C101" s="24" t="n"/>
      <c r="D101" s="24" t="n"/>
      <c r="E101" s="24" t="n"/>
      <c r="F101" s="24" t="n"/>
      <c r="G101" s="24" t="n"/>
      <c r="H101" s="24" t="n"/>
      <c r="I101" s="24" t="n"/>
      <c r="J101" s="24" t="n"/>
      <c r="K101" s="12">
        <f>I101-B101-J101</f>
        <v/>
      </c>
      <c r="L101" s="12">
        <f>IFERROR(B101/C101,"")</f>
        <v/>
      </c>
      <c r="M101" s="12">
        <f>IFERROR(B101/D101,"")</f>
        <v/>
      </c>
      <c r="N101" s="12">
        <f>ROUND(I101*$S$6,0)</f>
        <v/>
      </c>
      <c r="O101" s="25">
        <f>IF(A101&gt;TODAY(),"—",IF(SUM(B101:J101)=0,"⬜ ยังไม่บันทึก",IF(AND(D101&gt;=$S$4,IFERROR(B101/D101,0)&lt;=$S$5),"✅ ผ่าน","⚠️ ต้องปรับ")))</f>
        <v/>
      </c>
      <c r="P101" s="26" t="n"/>
    </row>
    <row r="102">
      <c r="A102" s="23" t="n">
        <v>46358</v>
      </c>
      <c r="B102" s="24" t="n"/>
      <c r="C102" s="24" t="n"/>
      <c r="D102" s="24" t="n"/>
      <c r="E102" s="24" t="n"/>
      <c r="F102" s="24" t="n"/>
      <c r="G102" s="24" t="n"/>
      <c r="H102" s="24" t="n"/>
      <c r="I102" s="24" t="n"/>
      <c r="J102" s="24" t="n"/>
      <c r="K102" s="12">
        <f>I102-B102-J102</f>
        <v/>
      </c>
      <c r="L102" s="12">
        <f>IFERROR(B102/C102,"")</f>
        <v/>
      </c>
      <c r="M102" s="12">
        <f>IFERROR(B102/D102,"")</f>
        <v/>
      </c>
      <c r="N102" s="12">
        <f>ROUND(I102*$S$6,0)</f>
        <v/>
      </c>
      <c r="O102" s="25">
        <f>IF(A102&gt;TODAY(),"—",IF(SUM(B102:J102)=0,"⬜ ยังไม่บันทึก",IF(AND(D102&gt;=$S$4,IFERROR(B102/D102,0)&lt;=$S$5),"✅ ผ่าน","⚠️ ต้องปรับ")))</f>
        <v/>
      </c>
      <c r="P102" s="26" t="n"/>
    </row>
    <row r="103">
      <c r="A103" s="23" t="n">
        <v>46359</v>
      </c>
      <c r="B103" s="24" t="n"/>
      <c r="C103" s="24" t="n"/>
      <c r="D103" s="24" t="n"/>
      <c r="E103" s="24" t="n"/>
      <c r="F103" s="24" t="n"/>
      <c r="G103" s="24" t="n"/>
      <c r="H103" s="24" t="n"/>
      <c r="I103" s="24" t="n"/>
      <c r="J103" s="24" t="n"/>
      <c r="K103" s="12">
        <f>I103-B103-J103</f>
        <v/>
      </c>
      <c r="L103" s="12">
        <f>IFERROR(B103/C103,"")</f>
        <v/>
      </c>
      <c r="M103" s="12">
        <f>IFERROR(B103/D103,"")</f>
        <v/>
      </c>
      <c r="N103" s="12">
        <f>ROUND(I103*$S$6,0)</f>
        <v/>
      </c>
      <c r="O103" s="25">
        <f>IF(A103&gt;TODAY(),"—",IF(SUM(B103:J103)=0,"⬜ ยังไม่บันทึก",IF(AND(D103&gt;=$S$4,IFERROR(B103/D103,0)&lt;=$S$5),"✅ ผ่าน","⚠️ ต้องปรับ")))</f>
        <v/>
      </c>
      <c r="P103" s="26" t="n"/>
    </row>
    <row r="104">
      <c r="A104" s="23" t="n">
        <v>46360</v>
      </c>
      <c r="B104" s="24" t="n"/>
      <c r="C104" s="24" t="n"/>
      <c r="D104" s="24" t="n"/>
      <c r="E104" s="24" t="n"/>
      <c r="F104" s="24" t="n"/>
      <c r="G104" s="24" t="n"/>
      <c r="H104" s="24" t="n"/>
      <c r="I104" s="24" t="n"/>
      <c r="J104" s="24" t="n"/>
      <c r="K104" s="12">
        <f>I104-B104-J104</f>
        <v/>
      </c>
      <c r="L104" s="12">
        <f>IFERROR(B104/C104,"")</f>
        <v/>
      </c>
      <c r="M104" s="12">
        <f>IFERROR(B104/D104,"")</f>
        <v/>
      </c>
      <c r="N104" s="12">
        <f>ROUND(I104*$S$6,0)</f>
        <v/>
      </c>
      <c r="O104" s="25">
        <f>IF(A104&gt;TODAY(),"—",IF(SUM(B104:J104)=0,"⬜ ยังไม่บันทึก",IF(AND(D104&gt;=$S$4,IFERROR(B104/D104,0)&lt;=$S$5),"✅ ผ่าน","⚠️ ต้องปรับ")))</f>
        <v/>
      </c>
      <c r="P104" s="26" t="n"/>
    </row>
    <row r="105">
      <c r="A105" s="23" t="n">
        <v>46361</v>
      </c>
      <c r="B105" s="24" t="n"/>
      <c r="C105" s="24" t="n"/>
      <c r="D105" s="24" t="n"/>
      <c r="E105" s="24" t="n"/>
      <c r="F105" s="24" t="n"/>
      <c r="G105" s="24" t="n"/>
      <c r="H105" s="24" t="n"/>
      <c r="I105" s="24" t="n"/>
      <c r="J105" s="24" t="n"/>
      <c r="K105" s="12">
        <f>I105-B105-J105</f>
        <v/>
      </c>
      <c r="L105" s="12">
        <f>IFERROR(B105/C105,"")</f>
        <v/>
      </c>
      <c r="M105" s="12">
        <f>IFERROR(B105/D105,"")</f>
        <v/>
      </c>
      <c r="N105" s="12">
        <f>ROUND(I105*$S$6,0)</f>
        <v/>
      </c>
      <c r="O105" s="25">
        <f>IF(A105&gt;TODAY(),"—",IF(SUM(B105:J105)=0,"⬜ ยังไม่บันทึก",IF(AND(D105&gt;=$S$4,IFERROR(B105/D105,0)&lt;=$S$5),"✅ ผ่าน","⚠️ ต้องปรับ")))</f>
        <v/>
      </c>
      <c r="P105" s="26" t="n"/>
    </row>
    <row r="106">
      <c r="A106" s="23" t="n">
        <v>46362</v>
      </c>
      <c r="B106" s="24" t="n"/>
      <c r="C106" s="24" t="n"/>
      <c r="D106" s="24" t="n"/>
      <c r="E106" s="24" t="n"/>
      <c r="F106" s="24" t="n"/>
      <c r="G106" s="24" t="n"/>
      <c r="H106" s="24" t="n"/>
      <c r="I106" s="24" t="n"/>
      <c r="J106" s="24" t="n"/>
      <c r="K106" s="12">
        <f>I106-B106-J106</f>
        <v/>
      </c>
      <c r="L106" s="12">
        <f>IFERROR(B106/C106,"")</f>
        <v/>
      </c>
      <c r="M106" s="12">
        <f>IFERROR(B106/D106,"")</f>
        <v/>
      </c>
      <c r="N106" s="12">
        <f>ROUND(I106*$S$6,0)</f>
        <v/>
      </c>
      <c r="O106" s="25">
        <f>IF(A106&gt;TODAY(),"—",IF(SUM(B106:J106)=0,"⬜ ยังไม่บันทึก",IF(AND(D106&gt;=$S$4,IFERROR(B106/D106,0)&lt;=$S$5),"✅ ผ่าน","⚠️ ต้องปรับ")))</f>
        <v/>
      </c>
      <c r="P106" s="26" t="n"/>
    </row>
    <row r="107">
      <c r="A107" s="23" t="n">
        <v>46363</v>
      </c>
      <c r="B107" s="24" t="n"/>
      <c r="C107" s="24" t="n"/>
      <c r="D107" s="24" t="n"/>
      <c r="E107" s="24" t="n"/>
      <c r="F107" s="24" t="n"/>
      <c r="G107" s="24" t="n"/>
      <c r="H107" s="24" t="n"/>
      <c r="I107" s="24" t="n"/>
      <c r="J107" s="24" t="n"/>
      <c r="K107" s="12">
        <f>I107-B107-J107</f>
        <v/>
      </c>
      <c r="L107" s="12">
        <f>IFERROR(B107/C107,"")</f>
        <v/>
      </c>
      <c r="M107" s="12">
        <f>IFERROR(B107/D107,"")</f>
        <v/>
      </c>
      <c r="N107" s="12">
        <f>ROUND(I107*$S$6,0)</f>
        <v/>
      </c>
      <c r="O107" s="25">
        <f>IF(A107&gt;TODAY(),"—",IF(SUM(B107:J107)=0,"⬜ ยังไม่บันทึก",IF(AND(D107&gt;=$S$4,IFERROR(B107/D107,0)&lt;=$S$5),"✅ ผ่าน","⚠️ ต้องปรับ")))</f>
        <v/>
      </c>
      <c r="P107" s="26" t="n"/>
    </row>
    <row r="108">
      <c r="A108" s="23" t="n">
        <v>46364</v>
      </c>
      <c r="B108" s="24" t="n"/>
      <c r="C108" s="24" t="n"/>
      <c r="D108" s="24" t="n"/>
      <c r="E108" s="24" t="n"/>
      <c r="F108" s="24" t="n"/>
      <c r="G108" s="24" t="n"/>
      <c r="H108" s="24" t="n"/>
      <c r="I108" s="24" t="n"/>
      <c r="J108" s="24" t="n"/>
      <c r="K108" s="12">
        <f>I108-B108-J108</f>
        <v/>
      </c>
      <c r="L108" s="12">
        <f>IFERROR(B108/C108,"")</f>
        <v/>
      </c>
      <c r="M108" s="12">
        <f>IFERROR(B108/D108,"")</f>
        <v/>
      </c>
      <c r="N108" s="12">
        <f>ROUND(I108*$S$6,0)</f>
        <v/>
      </c>
      <c r="O108" s="25">
        <f>IF(A108&gt;TODAY(),"—",IF(SUM(B108:J108)=0,"⬜ ยังไม่บันทึก",IF(AND(D108&gt;=$S$4,IFERROR(B108/D108,0)&lt;=$S$5),"✅ ผ่าน","⚠️ ต้องปรับ")))</f>
        <v/>
      </c>
      <c r="P108" s="26" t="n"/>
    </row>
    <row r="109">
      <c r="A109" s="23" t="n">
        <v>46365</v>
      </c>
      <c r="B109" s="24" t="n"/>
      <c r="C109" s="24" t="n"/>
      <c r="D109" s="24" t="n"/>
      <c r="E109" s="24" t="n"/>
      <c r="F109" s="24" t="n"/>
      <c r="G109" s="24" t="n"/>
      <c r="H109" s="24" t="n"/>
      <c r="I109" s="24" t="n"/>
      <c r="J109" s="24" t="n"/>
      <c r="K109" s="12">
        <f>I109-B109-J109</f>
        <v/>
      </c>
      <c r="L109" s="12">
        <f>IFERROR(B109/C109,"")</f>
        <v/>
      </c>
      <c r="M109" s="12">
        <f>IFERROR(B109/D109,"")</f>
        <v/>
      </c>
      <c r="N109" s="12">
        <f>ROUND(I109*$S$6,0)</f>
        <v/>
      </c>
      <c r="O109" s="25">
        <f>IF(A109&gt;TODAY(),"—",IF(SUM(B109:J109)=0,"⬜ ยังไม่บันทึก",IF(AND(D109&gt;=$S$4,IFERROR(B109/D109,0)&lt;=$S$5),"✅ ผ่าน","⚠️ ต้องปรับ")))</f>
        <v/>
      </c>
      <c r="P109" s="26" t="n"/>
    </row>
    <row r="110">
      <c r="A110" s="23" t="n">
        <v>46366</v>
      </c>
      <c r="B110" s="24" t="n"/>
      <c r="C110" s="24" t="n"/>
      <c r="D110" s="24" t="n"/>
      <c r="E110" s="24" t="n"/>
      <c r="F110" s="24" t="n"/>
      <c r="G110" s="24" t="n"/>
      <c r="H110" s="24" t="n"/>
      <c r="I110" s="24" t="n"/>
      <c r="J110" s="24" t="n"/>
      <c r="K110" s="12">
        <f>I110-B110-J110</f>
        <v/>
      </c>
      <c r="L110" s="12">
        <f>IFERROR(B110/C110,"")</f>
        <v/>
      </c>
      <c r="M110" s="12">
        <f>IFERROR(B110/D110,"")</f>
        <v/>
      </c>
      <c r="N110" s="12">
        <f>ROUND(I110*$S$6,0)</f>
        <v/>
      </c>
      <c r="O110" s="25">
        <f>IF(A110&gt;TODAY(),"—",IF(SUM(B110:J110)=0,"⬜ ยังไม่บันทึก",IF(AND(D110&gt;=$S$4,IFERROR(B110/D110,0)&lt;=$S$5),"✅ ผ่าน","⚠️ ต้องปรับ")))</f>
        <v/>
      </c>
      <c r="P110" s="26" t="n"/>
    </row>
    <row r="111">
      <c r="A111" s="23" t="n">
        <v>46367</v>
      </c>
      <c r="B111" s="24" t="n"/>
      <c r="C111" s="24" t="n"/>
      <c r="D111" s="24" t="n"/>
      <c r="E111" s="24" t="n"/>
      <c r="F111" s="24" t="n"/>
      <c r="G111" s="24" t="n"/>
      <c r="H111" s="24" t="n"/>
      <c r="I111" s="24" t="n"/>
      <c r="J111" s="24" t="n"/>
      <c r="K111" s="12">
        <f>I111-B111-J111</f>
        <v/>
      </c>
      <c r="L111" s="12">
        <f>IFERROR(B111/C111,"")</f>
        <v/>
      </c>
      <c r="M111" s="12">
        <f>IFERROR(B111/D111,"")</f>
        <v/>
      </c>
      <c r="N111" s="12">
        <f>ROUND(I111*$S$6,0)</f>
        <v/>
      </c>
      <c r="O111" s="25">
        <f>IF(A111&gt;TODAY(),"—",IF(SUM(B111:J111)=0,"⬜ ยังไม่บันทึก",IF(AND(D111&gt;=$S$4,IFERROR(B111/D111,0)&lt;=$S$5),"✅ ผ่าน","⚠️ ต้องปรับ")))</f>
        <v/>
      </c>
      <c r="P111" s="26" t="n"/>
    </row>
    <row r="112">
      <c r="A112" s="23" t="n">
        <v>46368</v>
      </c>
      <c r="B112" s="24" t="n"/>
      <c r="C112" s="24" t="n"/>
      <c r="D112" s="24" t="n"/>
      <c r="E112" s="24" t="n"/>
      <c r="F112" s="24" t="n"/>
      <c r="G112" s="24" t="n"/>
      <c r="H112" s="24" t="n"/>
      <c r="I112" s="24" t="n"/>
      <c r="J112" s="24" t="n"/>
      <c r="K112" s="12">
        <f>I112-B112-J112</f>
        <v/>
      </c>
      <c r="L112" s="12">
        <f>IFERROR(B112/C112,"")</f>
        <v/>
      </c>
      <c r="M112" s="12">
        <f>IFERROR(B112/D112,"")</f>
        <v/>
      </c>
      <c r="N112" s="12">
        <f>ROUND(I112*$S$6,0)</f>
        <v/>
      </c>
      <c r="O112" s="25">
        <f>IF(A112&gt;TODAY(),"—",IF(SUM(B112:J112)=0,"⬜ ยังไม่บันทึก",IF(AND(D112&gt;=$S$4,IFERROR(B112/D112,0)&lt;=$S$5),"✅ ผ่าน","⚠️ ต้องปรับ")))</f>
        <v/>
      </c>
      <c r="P112" s="26" t="n"/>
    </row>
    <row r="113">
      <c r="A113" s="23" t="n">
        <v>46369</v>
      </c>
      <c r="B113" s="24" t="n"/>
      <c r="C113" s="24" t="n"/>
      <c r="D113" s="24" t="n"/>
      <c r="E113" s="24" t="n"/>
      <c r="F113" s="24" t="n"/>
      <c r="G113" s="24" t="n"/>
      <c r="H113" s="24" t="n"/>
      <c r="I113" s="24" t="n"/>
      <c r="J113" s="24" t="n"/>
      <c r="K113" s="12">
        <f>I113-B113-J113</f>
        <v/>
      </c>
      <c r="L113" s="12">
        <f>IFERROR(B113/C113,"")</f>
        <v/>
      </c>
      <c r="M113" s="12">
        <f>IFERROR(B113/D113,"")</f>
        <v/>
      </c>
      <c r="N113" s="12">
        <f>ROUND(I113*$S$6,0)</f>
        <v/>
      </c>
      <c r="O113" s="25">
        <f>IF(A113&gt;TODAY(),"—",IF(SUM(B113:J113)=0,"⬜ ยังไม่บันทึก",IF(AND(D113&gt;=$S$4,IFERROR(B113/D113,0)&lt;=$S$5),"✅ ผ่าน","⚠️ ต้องปรับ")))</f>
        <v/>
      </c>
      <c r="P113" s="26" t="n"/>
    </row>
    <row r="114">
      <c r="A114" s="23" t="n">
        <v>46370</v>
      </c>
      <c r="B114" s="24" t="n"/>
      <c r="C114" s="24" t="n"/>
      <c r="D114" s="24" t="n"/>
      <c r="E114" s="24" t="n"/>
      <c r="F114" s="24" t="n"/>
      <c r="G114" s="24" t="n"/>
      <c r="H114" s="24" t="n"/>
      <c r="I114" s="24" t="n"/>
      <c r="J114" s="24" t="n"/>
      <c r="K114" s="12">
        <f>I114-B114-J114</f>
        <v/>
      </c>
      <c r="L114" s="12">
        <f>IFERROR(B114/C114,"")</f>
        <v/>
      </c>
      <c r="M114" s="12">
        <f>IFERROR(B114/D114,"")</f>
        <v/>
      </c>
      <c r="N114" s="12">
        <f>ROUND(I114*$S$6,0)</f>
        <v/>
      </c>
      <c r="O114" s="25">
        <f>IF(A114&gt;TODAY(),"—",IF(SUM(B114:J114)=0,"⬜ ยังไม่บันทึก",IF(AND(D114&gt;=$S$4,IFERROR(B114/D114,0)&lt;=$S$5),"✅ ผ่าน","⚠️ ต้องปรับ")))</f>
        <v/>
      </c>
      <c r="P114" s="26" t="n"/>
    </row>
    <row r="115">
      <c r="A115" s="23" t="n">
        <v>46371</v>
      </c>
      <c r="B115" s="24" t="n"/>
      <c r="C115" s="24" t="n"/>
      <c r="D115" s="24" t="n"/>
      <c r="E115" s="24" t="n"/>
      <c r="F115" s="24" t="n"/>
      <c r="G115" s="24" t="n"/>
      <c r="H115" s="24" t="n"/>
      <c r="I115" s="24" t="n"/>
      <c r="J115" s="24" t="n"/>
      <c r="K115" s="12">
        <f>I115-B115-J115</f>
        <v/>
      </c>
      <c r="L115" s="12">
        <f>IFERROR(B115/C115,"")</f>
        <v/>
      </c>
      <c r="M115" s="12">
        <f>IFERROR(B115/D115,"")</f>
        <v/>
      </c>
      <c r="N115" s="12">
        <f>ROUND(I115*$S$6,0)</f>
        <v/>
      </c>
      <c r="O115" s="25">
        <f>IF(A115&gt;TODAY(),"—",IF(SUM(B115:J115)=0,"⬜ ยังไม่บันทึก",IF(AND(D115&gt;=$S$4,IFERROR(B115/D115,0)&lt;=$S$5),"✅ ผ่าน","⚠️ ต้องปรับ")))</f>
        <v/>
      </c>
      <c r="P115" s="26" t="n"/>
    </row>
    <row r="116">
      <c r="A116" s="23" t="n">
        <v>46372</v>
      </c>
      <c r="B116" s="24" t="n"/>
      <c r="C116" s="24" t="n"/>
      <c r="D116" s="24" t="n"/>
      <c r="E116" s="24" t="n"/>
      <c r="F116" s="24" t="n"/>
      <c r="G116" s="24" t="n"/>
      <c r="H116" s="24" t="n"/>
      <c r="I116" s="24" t="n"/>
      <c r="J116" s="24" t="n"/>
      <c r="K116" s="12">
        <f>I116-B116-J116</f>
        <v/>
      </c>
      <c r="L116" s="12">
        <f>IFERROR(B116/C116,"")</f>
        <v/>
      </c>
      <c r="M116" s="12">
        <f>IFERROR(B116/D116,"")</f>
        <v/>
      </c>
      <c r="N116" s="12">
        <f>ROUND(I116*$S$6,0)</f>
        <v/>
      </c>
      <c r="O116" s="25">
        <f>IF(A116&gt;TODAY(),"—",IF(SUM(B116:J116)=0,"⬜ ยังไม่บันทึก",IF(AND(D116&gt;=$S$4,IFERROR(B116/D116,0)&lt;=$S$5),"✅ ผ่าน","⚠️ ต้องปรับ")))</f>
        <v/>
      </c>
      <c r="P116" s="26" t="n"/>
    </row>
    <row r="117">
      <c r="A117" s="23" t="n">
        <v>46373</v>
      </c>
      <c r="B117" s="24" t="n"/>
      <c r="C117" s="24" t="n"/>
      <c r="D117" s="24" t="n"/>
      <c r="E117" s="24" t="n"/>
      <c r="F117" s="24" t="n"/>
      <c r="G117" s="24" t="n"/>
      <c r="H117" s="24" t="n"/>
      <c r="I117" s="24" t="n"/>
      <c r="J117" s="24" t="n"/>
      <c r="K117" s="12">
        <f>I117-B117-J117</f>
        <v/>
      </c>
      <c r="L117" s="12">
        <f>IFERROR(B117/C117,"")</f>
        <v/>
      </c>
      <c r="M117" s="12">
        <f>IFERROR(B117/D117,"")</f>
        <v/>
      </c>
      <c r="N117" s="12">
        <f>ROUND(I117*$S$6,0)</f>
        <v/>
      </c>
      <c r="O117" s="25">
        <f>IF(A117&gt;TODAY(),"—",IF(SUM(B117:J117)=0,"⬜ ยังไม่บันทึก",IF(AND(D117&gt;=$S$4,IFERROR(B117/D117,0)&lt;=$S$5),"✅ ผ่าน","⚠️ ต้องปรับ")))</f>
        <v/>
      </c>
      <c r="P117" s="26" t="n"/>
    </row>
    <row r="118">
      <c r="A118" s="23" t="n">
        <v>46374</v>
      </c>
      <c r="B118" s="24" t="n"/>
      <c r="C118" s="24" t="n"/>
      <c r="D118" s="24" t="n"/>
      <c r="E118" s="24" t="n"/>
      <c r="F118" s="24" t="n"/>
      <c r="G118" s="24" t="n"/>
      <c r="H118" s="24" t="n"/>
      <c r="I118" s="24" t="n"/>
      <c r="J118" s="24" t="n"/>
      <c r="K118" s="12">
        <f>I118-B118-J118</f>
        <v/>
      </c>
      <c r="L118" s="12">
        <f>IFERROR(B118/C118,"")</f>
        <v/>
      </c>
      <c r="M118" s="12">
        <f>IFERROR(B118/D118,"")</f>
        <v/>
      </c>
      <c r="N118" s="12">
        <f>ROUND(I118*$S$6,0)</f>
        <v/>
      </c>
      <c r="O118" s="25">
        <f>IF(A118&gt;TODAY(),"—",IF(SUM(B118:J118)=0,"⬜ ยังไม่บันทึก",IF(AND(D118&gt;=$S$4,IFERROR(B118/D118,0)&lt;=$S$5),"✅ ผ่าน","⚠️ ต้องปรับ")))</f>
        <v/>
      </c>
      <c r="P118" s="26" t="n"/>
    </row>
    <row r="119">
      <c r="A119" s="23" t="n">
        <v>46375</v>
      </c>
      <c r="B119" s="24" t="n"/>
      <c r="C119" s="24" t="n"/>
      <c r="D119" s="24" t="n"/>
      <c r="E119" s="24" t="n"/>
      <c r="F119" s="24" t="n"/>
      <c r="G119" s="24" t="n"/>
      <c r="H119" s="24" t="n"/>
      <c r="I119" s="24" t="n"/>
      <c r="J119" s="24" t="n"/>
      <c r="K119" s="12">
        <f>I119-B119-J119</f>
        <v/>
      </c>
      <c r="L119" s="12">
        <f>IFERROR(B119/C119,"")</f>
        <v/>
      </c>
      <c r="M119" s="12">
        <f>IFERROR(B119/D119,"")</f>
        <v/>
      </c>
      <c r="N119" s="12">
        <f>ROUND(I119*$S$6,0)</f>
        <v/>
      </c>
      <c r="O119" s="25">
        <f>IF(A119&gt;TODAY(),"—",IF(SUM(B119:J119)=0,"⬜ ยังไม่บันทึก",IF(AND(D119&gt;=$S$4,IFERROR(B119/D119,0)&lt;=$S$5),"✅ ผ่าน","⚠️ ต้องปรับ")))</f>
        <v/>
      </c>
      <c r="P119" s="26" t="n"/>
    </row>
    <row r="120">
      <c r="A120" s="23" t="n">
        <v>46376</v>
      </c>
      <c r="B120" s="24" t="n"/>
      <c r="C120" s="24" t="n"/>
      <c r="D120" s="24" t="n"/>
      <c r="E120" s="24" t="n"/>
      <c r="F120" s="24" t="n"/>
      <c r="G120" s="24" t="n"/>
      <c r="H120" s="24" t="n"/>
      <c r="I120" s="24" t="n"/>
      <c r="J120" s="24" t="n"/>
      <c r="K120" s="12">
        <f>I120-B120-J120</f>
        <v/>
      </c>
      <c r="L120" s="12">
        <f>IFERROR(B120/C120,"")</f>
        <v/>
      </c>
      <c r="M120" s="12">
        <f>IFERROR(B120/D120,"")</f>
        <v/>
      </c>
      <c r="N120" s="12">
        <f>ROUND(I120*$S$6,0)</f>
        <v/>
      </c>
      <c r="O120" s="25">
        <f>IF(A120&gt;TODAY(),"—",IF(SUM(B120:J120)=0,"⬜ ยังไม่บันทึก",IF(AND(D120&gt;=$S$4,IFERROR(B120/D120,0)&lt;=$S$5),"✅ ผ่าน","⚠️ ต้องปรับ")))</f>
        <v/>
      </c>
      <c r="P120" s="26" t="n"/>
    </row>
    <row r="121">
      <c r="A121" s="23" t="n">
        <v>46377</v>
      </c>
      <c r="B121" s="24" t="n"/>
      <c r="C121" s="24" t="n"/>
      <c r="D121" s="24" t="n"/>
      <c r="E121" s="24" t="n"/>
      <c r="F121" s="24" t="n"/>
      <c r="G121" s="24" t="n"/>
      <c r="H121" s="24" t="n"/>
      <c r="I121" s="24" t="n"/>
      <c r="J121" s="24" t="n"/>
      <c r="K121" s="12">
        <f>I121-B121-J121</f>
        <v/>
      </c>
      <c r="L121" s="12">
        <f>IFERROR(B121/C121,"")</f>
        <v/>
      </c>
      <c r="M121" s="12">
        <f>IFERROR(B121/D121,"")</f>
        <v/>
      </c>
      <c r="N121" s="12">
        <f>ROUND(I121*$S$6,0)</f>
        <v/>
      </c>
      <c r="O121" s="25">
        <f>IF(A121&gt;TODAY(),"—",IF(SUM(B121:J121)=0,"⬜ ยังไม่บันทึก",IF(AND(D121&gt;=$S$4,IFERROR(B121/D121,0)&lt;=$S$5),"✅ ผ่าน","⚠️ ต้องปรับ")))</f>
        <v/>
      </c>
      <c r="P121" s="26" t="n"/>
    </row>
    <row r="122">
      <c r="A122" s="23" t="n">
        <v>46378</v>
      </c>
      <c r="B122" s="24" t="n"/>
      <c r="C122" s="24" t="n"/>
      <c r="D122" s="24" t="n"/>
      <c r="E122" s="24" t="n"/>
      <c r="F122" s="24" t="n"/>
      <c r="G122" s="24" t="n"/>
      <c r="H122" s="24" t="n"/>
      <c r="I122" s="24" t="n"/>
      <c r="J122" s="24" t="n"/>
      <c r="K122" s="12">
        <f>I122-B122-J122</f>
        <v/>
      </c>
      <c r="L122" s="12">
        <f>IFERROR(B122/C122,"")</f>
        <v/>
      </c>
      <c r="M122" s="12">
        <f>IFERROR(B122/D122,"")</f>
        <v/>
      </c>
      <c r="N122" s="12">
        <f>ROUND(I122*$S$6,0)</f>
        <v/>
      </c>
      <c r="O122" s="25">
        <f>IF(A122&gt;TODAY(),"—",IF(SUM(B122:J122)=0,"⬜ ยังไม่บันทึก",IF(AND(D122&gt;=$S$4,IFERROR(B122/D122,0)&lt;=$S$5),"✅ ผ่าน","⚠️ ต้องปรับ")))</f>
        <v/>
      </c>
      <c r="P122" s="26" t="n"/>
    </row>
    <row r="123">
      <c r="A123" s="23" t="n">
        <v>46379</v>
      </c>
      <c r="B123" s="24" t="n"/>
      <c r="C123" s="24" t="n"/>
      <c r="D123" s="24" t="n"/>
      <c r="E123" s="24" t="n"/>
      <c r="F123" s="24" t="n"/>
      <c r="G123" s="24" t="n"/>
      <c r="H123" s="24" t="n"/>
      <c r="I123" s="24" t="n"/>
      <c r="J123" s="24" t="n"/>
      <c r="K123" s="12">
        <f>I123-B123-J123</f>
        <v/>
      </c>
      <c r="L123" s="12">
        <f>IFERROR(B123/C123,"")</f>
        <v/>
      </c>
      <c r="M123" s="12">
        <f>IFERROR(B123/D123,"")</f>
        <v/>
      </c>
      <c r="N123" s="12">
        <f>ROUND(I123*$S$6,0)</f>
        <v/>
      </c>
      <c r="O123" s="25">
        <f>IF(A123&gt;TODAY(),"—",IF(SUM(B123:J123)=0,"⬜ ยังไม่บันทึก",IF(AND(D123&gt;=$S$4,IFERROR(B123/D123,0)&lt;=$S$5),"✅ ผ่าน","⚠️ ต้องปรับ")))</f>
        <v/>
      </c>
      <c r="P123" s="26" t="n"/>
    </row>
    <row r="124">
      <c r="A124" s="23" t="n">
        <v>46380</v>
      </c>
      <c r="B124" s="24" t="n"/>
      <c r="C124" s="24" t="n"/>
      <c r="D124" s="24" t="n"/>
      <c r="E124" s="24" t="n"/>
      <c r="F124" s="24" t="n"/>
      <c r="G124" s="24" t="n"/>
      <c r="H124" s="24" t="n"/>
      <c r="I124" s="24" t="n"/>
      <c r="J124" s="24" t="n"/>
      <c r="K124" s="12">
        <f>I124-B124-J124</f>
        <v/>
      </c>
      <c r="L124" s="12">
        <f>IFERROR(B124/C124,"")</f>
        <v/>
      </c>
      <c r="M124" s="12">
        <f>IFERROR(B124/D124,"")</f>
        <v/>
      </c>
      <c r="N124" s="12">
        <f>ROUND(I124*$S$6,0)</f>
        <v/>
      </c>
      <c r="O124" s="25">
        <f>IF(A124&gt;TODAY(),"—",IF(SUM(B124:J124)=0,"⬜ ยังไม่บันทึก",IF(AND(D124&gt;=$S$4,IFERROR(B124/D124,0)&lt;=$S$5),"✅ ผ่าน","⚠️ ต้องปรับ")))</f>
        <v/>
      </c>
      <c r="P124" s="26" t="n"/>
    </row>
    <row r="125">
      <c r="A125" s="23" t="n">
        <v>46381</v>
      </c>
      <c r="B125" s="24" t="n"/>
      <c r="C125" s="24" t="n"/>
      <c r="D125" s="24" t="n"/>
      <c r="E125" s="24" t="n"/>
      <c r="F125" s="24" t="n"/>
      <c r="G125" s="24" t="n"/>
      <c r="H125" s="24" t="n"/>
      <c r="I125" s="24" t="n"/>
      <c r="J125" s="24" t="n"/>
      <c r="K125" s="12">
        <f>I125-B125-J125</f>
        <v/>
      </c>
      <c r="L125" s="12">
        <f>IFERROR(B125/C125,"")</f>
        <v/>
      </c>
      <c r="M125" s="12">
        <f>IFERROR(B125/D125,"")</f>
        <v/>
      </c>
      <c r="N125" s="12">
        <f>ROUND(I125*$S$6,0)</f>
        <v/>
      </c>
      <c r="O125" s="25">
        <f>IF(A125&gt;TODAY(),"—",IF(SUM(B125:J125)=0,"⬜ ยังไม่บันทึก",IF(AND(D125&gt;=$S$4,IFERROR(B125/D125,0)&lt;=$S$5),"✅ ผ่าน","⚠️ ต้องปรับ")))</f>
        <v/>
      </c>
      <c r="P125" s="26" t="n"/>
    </row>
    <row r="126">
      <c r="A126" s="23" t="n">
        <v>46382</v>
      </c>
      <c r="B126" s="24" t="n"/>
      <c r="C126" s="24" t="n"/>
      <c r="D126" s="24" t="n"/>
      <c r="E126" s="24" t="n"/>
      <c r="F126" s="24" t="n"/>
      <c r="G126" s="24" t="n"/>
      <c r="H126" s="24" t="n"/>
      <c r="I126" s="24" t="n"/>
      <c r="J126" s="24" t="n"/>
      <c r="K126" s="12">
        <f>I126-B126-J126</f>
        <v/>
      </c>
      <c r="L126" s="12">
        <f>IFERROR(B126/C126,"")</f>
        <v/>
      </c>
      <c r="M126" s="12">
        <f>IFERROR(B126/D126,"")</f>
        <v/>
      </c>
      <c r="N126" s="12">
        <f>ROUND(I126*$S$6,0)</f>
        <v/>
      </c>
      <c r="O126" s="25">
        <f>IF(A126&gt;TODAY(),"—",IF(SUM(B126:J126)=0,"⬜ ยังไม่บันทึก",IF(AND(D126&gt;=$S$4,IFERROR(B126/D126,0)&lt;=$S$5),"✅ ผ่าน","⚠️ ต้องปรับ")))</f>
        <v/>
      </c>
      <c r="P126" s="26" t="n"/>
    </row>
    <row r="127">
      <c r="A127" s="23" t="n">
        <v>46383</v>
      </c>
      <c r="B127" s="24" t="n"/>
      <c r="C127" s="24" t="n"/>
      <c r="D127" s="24" t="n"/>
      <c r="E127" s="24" t="n"/>
      <c r="F127" s="24" t="n"/>
      <c r="G127" s="24" t="n"/>
      <c r="H127" s="24" t="n"/>
      <c r="I127" s="24" t="n"/>
      <c r="J127" s="24" t="n"/>
      <c r="K127" s="12">
        <f>I127-B127-J127</f>
        <v/>
      </c>
      <c r="L127" s="12">
        <f>IFERROR(B127/C127,"")</f>
        <v/>
      </c>
      <c r="M127" s="12">
        <f>IFERROR(B127/D127,"")</f>
        <v/>
      </c>
      <c r="N127" s="12">
        <f>ROUND(I127*$S$6,0)</f>
        <v/>
      </c>
      <c r="O127" s="25">
        <f>IF(A127&gt;TODAY(),"—",IF(SUM(B127:J127)=0,"⬜ ยังไม่บันทึก",IF(AND(D127&gt;=$S$4,IFERROR(B127/D127,0)&lt;=$S$5),"✅ ผ่าน","⚠️ ต้องปรับ")))</f>
        <v/>
      </c>
      <c r="P127" s="26" t="n"/>
    </row>
    <row r="128">
      <c r="A128" s="23" t="n">
        <v>46384</v>
      </c>
      <c r="B128" s="24" t="n"/>
      <c r="C128" s="24" t="n"/>
      <c r="D128" s="24" t="n"/>
      <c r="E128" s="24" t="n"/>
      <c r="F128" s="24" t="n"/>
      <c r="G128" s="24" t="n"/>
      <c r="H128" s="24" t="n"/>
      <c r="I128" s="24" t="n"/>
      <c r="J128" s="24" t="n"/>
      <c r="K128" s="12">
        <f>I128-B128-J128</f>
        <v/>
      </c>
      <c r="L128" s="12">
        <f>IFERROR(B128/C128,"")</f>
        <v/>
      </c>
      <c r="M128" s="12">
        <f>IFERROR(B128/D128,"")</f>
        <v/>
      </c>
      <c r="N128" s="12">
        <f>ROUND(I128*$S$6,0)</f>
        <v/>
      </c>
      <c r="O128" s="25">
        <f>IF(A128&gt;TODAY(),"—",IF(SUM(B128:J128)=0,"⬜ ยังไม่บันทึก",IF(AND(D128&gt;=$S$4,IFERROR(B128/D128,0)&lt;=$S$5),"✅ ผ่าน","⚠️ ต้องปรับ")))</f>
        <v/>
      </c>
      <c r="P128" s="26" t="n"/>
    </row>
    <row r="129">
      <c r="A129" s="23" t="n">
        <v>46385</v>
      </c>
      <c r="B129" s="24" t="n"/>
      <c r="C129" s="24" t="n"/>
      <c r="D129" s="24" t="n"/>
      <c r="E129" s="24" t="n"/>
      <c r="F129" s="24" t="n"/>
      <c r="G129" s="24" t="n"/>
      <c r="H129" s="24" t="n"/>
      <c r="I129" s="24" t="n"/>
      <c r="J129" s="24" t="n"/>
      <c r="K129" s="12">
        <f>I129-B129-J129</f>
        <v/>
      </c>
      <c r="L129" s="12">
        <f>IFERROR(B129/C129,"")</f>
        <v/>
      </c>
      <c r="M129" s="12">
        <f>IFERROR(B129/D129,"")</f>
        <v/>
      </c>
      <c r="N129" s="12">
        <f>ROUND(I129*$S$6,0)</f>
        <v/>
      </c>
      <c r="O129" s="25">
        <f>IF(A129&gt;TODAY(),"—",IF(SUM(B129:J129)=0,"⬜ ยังไม่บันทึก",IF(AND(D129&gt;=$S$4,IFERROR(B129/D129,0)&lt;=$S$5),"✅ ผ่าน","⚠️ ต้องปรับ")))</f>
        <v/>
      </c>
      <c r="P129" s="26" t="n"/>
    </row>
    <row r="130">
      <c r="A130" s="23" t="n">
        <v>46386</v>
      </c>
      <c r="B130" s="24" t="n"/>
      <c r="C130" s="24" t="n"/>
      <c r="D130" s="24" t="n"/>
      <c r="E130" s="24" t="n"/>
      <c r="F130" s="24" t="n"/>
      <c r="G130" s="24" t="n"/>
      <c r="H130" s="24" t="n"/>
      <c r="I130" s="24" t="n"/>
      <c r="J130" s="24" t="n"/>
      <c r="K130" s="12">
        <f>I130-B130-J130</f>
        <v/>
      </c>
      <c r="L130" s="12">
        <f>IFERROR(B130/C130,"")</f>
        <v/>
      </c>
      <c r="M130" s="12">
        <f>IFERROR(B130/D130,"")</f>
        <v/>
      </c>
      <c r="N130" s="12">
        <f>ROUND(I130*$S$6,0)</f>
        <v/>
      </c>
      <c r="O130" s="25">
        <f>IF(A130&gt;TODAY(),"—",IF(SUM(B130:J130)=0,"⬜ ยังไม่บันทึก",IF(AND(D130&gt;=$S$4,IFERROR(B130/D130,0)&lt;=$S$5),"✅ ผ่าน","⚠️ ต้องปรับ")))</f>
        <v/>
      </c>
      <c r="P130" s="26" t="n"/>
    </row>
    <row r="131">
      <c r="A131" s="23" t="n">
        <v>46387</v>
      </c>
      <c r="B131" s="24" t="n"/>
      <c r="C131" s="24" t="n"/>
      <c r="D131" s="24" t="n"/>
      <c r="E131" s="24" t="n"/>
      <c r="F131" s="24" t="n"/>
      <c r="G131" s="24" t="n"/>
      <c r="H131" s="24" t="n"/>
      <c r="I131" s="24" t="n"/>
      <c r="J131" s="24" t="n"/>
      <c r="K131" s="12">
        <f>I131-B131-J131</f>
        <v/>
      </c>
      <c r="L131" s="12">
        <f>IFERROR(B131/C131,"")</f>
        <v/>
      </c>
      <c r="M131" s="12">
        <f>IFERROR(B131/D131,"")</f>
        <v/>
      </c>
      <c r="N131" s="12">
        <f>ROUND(I131*$S$6,0)</f>
        <v/>
      </c>
      <c r="O131" s="25">
        <f>IF(A131&gt;TODAY(),"—",IF(SUM(B131:J131)=0,"⬜ ยังไม่บันทึก",IF(AND(D131&gt;=$S$4,IFERROR(B131/D131,0)&lt;=$S$5),"✅ ผ่าน","⚠️ ต้องปรับ")))</f>
        <v/>
      </c>
      <c r="P131" s="26" t="n"/>
    </row>
    <row r="132">
      <c r="A132" s="31" t="n">
        <v>46388</v>
      </c>
      <c r="B132" s="24" t="n"/>
      <c r="C132" s="24" t="n"/>
      <c r="D132" s="24" t="n"/>
      <c r="E132" s="24" t="n"/>
      <c r="F132" s="24" t="n"/>
      <c r="G132" s="24" t="n"/>
      <c r="H132" s="24" t="n"/>
      <c r="I132" s="24" t="n"/>
      <c r="J132" s="24" t="n"/>
      <c r="K132" s="12">
        <f>I132-B132-J132</f>
        <v/>
      </c>
      <c r="L132" s="12">
        <f>IFERROR(B132/C132,"")</f>
        <v/>
      </c>
      <c r="M132" s="12">
        <f>IFERROR(B132/D132,"")</f>
        <v/>
      </c>
      <c r="N132" s="12">
        <f>ROUND(I132*$S$6,0)</f>
        <v/>
      </c>
      <c r="O132" s="25">
        <f>IF(A132&gt;TODAY(),"—",IF(SUM(B132:J132)=0,"⬜ ยังไม่บันทึก",IF(AND(D132&gt;=$S$4,IFERROR(B132/D132,0)&lt;=$S$5),"✅ ผ่าน","⚠️ ต้องปรับ")))</f>
        <v/>
      </c>
      <c r="P132" s="26" t="n"/>
    </row>
    <row r="133">
      <c r="A133" s="23" t="n">
        <v>46389</v>
      </c>
      <c r="B133" s="24" t="n"/>
      <c r="C133" s="24" t="n"/>
      <c r="D133" s="24" t="n"/>
      <c r="E133" s="24" t="n"/>
      <c r="F133" s="24" t="n"/>
      <c r="G133" s="24" t="n"/>
      <c r="H133" s="24" t="n"/>
      <c r="I133" s="24" t="n"/>
      <c r="J133" s="24" t="n"/>
      <c r="K133" s="12">
        <f>I133-B133-J133</f>
        <v/>
      </c>
      <c r="L133" s="12">
        <f>IFERROR(B133/C133,"")</f>
        <v/>
      </c>
      <c r="M133" s="12">
        <f>IFERROR(B133/D133,"")</f>
        <v/>
      </c>
      <c r="N133" s="12">
        <f>ROUND(I133*$S$6,0)</f>
        <v/>
      </c>
      <c r="O133" s="25">
        <f>IF(A133&gt;TODAY(),"—",IF(SUM(B133:J133)=0,"⬜ ยังไม่บันทึก",IF(AND(D133&gt;=$S$4,IFERROR(B133/D133,0)&lt;=$S$5),"✅ ผ่าน","⚠️ ต้องปรับ")))</f>
        <v/>
      </c>
      <c r="P133" s="26" t="n"/>
    </row>
    <row r="134">
      <c r="A134" s="23" t="n">
        <v>46390</v>
      </c>
      <c r="B134" s="24" t="n"/>
      <c r="C134" s="24" t="n"/>
      <c r="D134" s="24" t="n"/>
      <c r="E134" s="24" t="n"/>
      <c r="F134" s="24" t="n"/>
      <c r="G134" s="24" t="n"/>
      <c r="H134" s="24" t="n"/>
      <c r="I134" s="24" t="n"/>
      <c r="J134" s="24" t="n"/>
      <c r="K134" s="12">
        <f>I134-B134-J134</f>
        <v/>
      </c>
      <c r="L134" s="12">
        <f>IFERROR(B134/C134,"")</f>
        <v/>
      </c>
      <c r="M134" s="12">
        <f>IFERROR(B134/D134,"")</f>
        <v/>
      </c>
      <c r="N134" s="12">
        <f>ROUND(I134*$S$6,0)</f>
        <v/>
      </c>
      <c r="O134" s="25">
        <f>IF(A134&gt;TODAY(),"—",IF(SUM(B134:J134)=0,"⬜ ยังไม่บันทึก",IF(AND(D134&gt;=$S$4,IFERROR(B134/D134,0)&lt;=$S$5),"✅ ผ่าน","⚠️ ต้องปรับ")))</f>
        <v/>
      </c>
      <c r="P134" s="26" t="n"/>
    </row>
    <row r="135">
      <c r="A135" s="23" t="n">
        <v>46391</v>
      </c>
      <c r="B135" s="24" t="n"/>
      <c r="C135" s="24" t="n"/>
      <c r="D135" s="24" t="n"/>
      <c r="E135" s="24" t="n"/>
      <c r="F135" s="24" t="n"/>
      <c r="G135" s="24" t="n"/>
      <c r="H135" s="24" t="n"/>
      <c r="I135" s="24" t="n"/>
      <c r="J135" s="24" t="n"/>
      <c r="K135" s="12">
        <f>I135-B135-J135</f>
        <v/>
      </c>
      <c r="L135" s="12">
        <f>IFERROR(B135/C135,"")</f>
        <v/>
      </c>
      <c r="M135" s="12">
        <f>IFERROR(B135/D135,"")</f>
        <v/>
      </c>
      <c r="N135" s="12">
        <f>ROUND(I135*$S$6,0)</f>
        <v/>
      </c>
      <c r="O135" s="25">
        <f>IF(A135&gt;TODAY(),"—",IF(SUM(B135:J135)=0,"⬜ ยังไม่บันทึก",IF(AND(D135&gt;=$S$4,IFERROR(B135/D135,0)&lt;=$S$5),"✅ ผ่าน","⚠️ ต้องปรับ")))</f>
        <v/>
      </c>
      <c r="P135" s="26" t="n"/>
    </row>
    <row r="136">
      <c r="A136" s="23" t="n">
        <v>46392</v>
      </c>
      <c r="B136" s="24" t="n"/>
      <c r="C136" s="24" t="n"/>
      <c r="D136" s="24" t="n"/>
      <c r="E136" s="24" t="n"/>
      <c r="F136" s="24" t="n"/>
      <c r="G136" s="24" t="n"/>
      <c r="H136" s="24" t="n"/>
      <c r="I136" s="24" t="n"/>
      <c r="J136" s="24" t="n"/>
      <c r="K136" s="12">
        <f>I136-B136-J136</f>
        <v/>
      </c>
      <c r="L136" s="12">
        <f>IFERROR(B136/C136,"")</f>
        <v/>
      </c>
      <c r="M136" s="12">
        <f>IFERROR(B136/D136,"")</f>
        <v/>
      </c>
      <c r="N136" s="12">
        <f>ROUND(I136*$S$6,0)</f>
        <v/>
      </c>
      <c r="O136" s="25">
        <f>IF(A136&gt;TODAY(),"—",IF(SUM(B136:J136)=0,"⬜ ยังไม่บันทึก",IF(AND(D136&gt;=$S$4,IFERROR(B136/D136,0)&lt;=$S$5),"✅ ผ่าน","⚠️ ต้องปรับ")))</f>
        <v/>
      </c>
      <c r="P136" s="26" t="n"/>
    </row>
    <row r="137">
      <c r="A137" s="23" t="n">
        <v>46393</v>
      </c>
      <c r="B137" s="24" t="n"/>
      <c r="C137" s="24" t="n"/>
      <c r="D137" s="24" t="n"/>
      <c r="E137" s="24" t="n"/>
      <c r="F137" s="24" t="n"/>
      <c r="G137" s="24" t="n"/>
      <c r="H137" s="24" t="n"/>
      <c r="I137" s="24" t="n"/>
      <c r="J137" s="24" t="n"/>
      <c r="K137" s="12">
        <f>I137-B137-J137</f>
        <v/>
      </c>
      <c r="L137" s="12">
        <f>IFERROR(B137/C137,"")</f>
        <v/>
      </c>
      <c r="M137" s="12">
        <f>IFERROR(B137/D137,"")</f>
        <v/>
      </c>
      <c r="N137" s="12">
        <f>ROUND(I137*$S$6,0)</f>
        <v/>
      </c>
      <c r="O137" s="25">
        <f>IF(A137&gt;TODAY(),"—",IF(SUM(B137:J137)=0,"⬜ ยังไม่บันทึก",IF(AND(D137&gt;=$S$4,IFERROR(B137/D137,0)&lt;=$S$5),"✅ ผ่าน","⚠️ ต้องปรับ")))</f>
        <v/>
      </c>
      <c r="P137" s="26" t="n"/>
    </row>
    <row r="138">
      <c r="A138" s="23" t="n">
        <v>46394</v>
      </c>
      <c r="B138" s="24" t="n"/>
      <c r="C138" s="24" t="n"/>
      <c r="D138" s="24" t="n"/>
      <c r="E138" s="24" t="n"/>
      <c r="F138" s="24" t="n"/>
      <c r="G138" s="24" t="n"/>
      <c r="H138" s="24" t="n"/>
      <c r="I138" s="24" t="n"/>
      <c r="J138" s="24" t="n"/>
      <c r="K138" s="12">
        <f>I138-B138-J138</f>
        <v/>
      </c>
      <c r="L138" s="12">
        <f>IFERROR(B138/C138,"")</f>
        <v/>
      </c>
      <c r="M138" s="12">
        <f>IFERROR(B138/D138,"")</f>
        <v/>
      </c>
      <c r="N138" s="12">
        <f>ROUND(I138*$S$6,0)</f>
        <v/>
      </c>
      <c r="O138" s="25">
        <f>IF(A138&gt;TODAY(),"—",IF(SUM(B138:J138)=0,"⬜ ยังไม่บันทึก",IF(AND(D138&gt;=$S$4,IFERROR(B138/D138,0)&lt;=$S$5),"✅ ผ่าน","⚠️ ต้องปรับ")))</f>
        <v/>
      </c>
      <c r="P138" s="26" t="n"/>
    </row>
    <row r="139">
      <c r="A139" s="23" t="n">
        <v>46395</v>
      </c>
      <c r="B139" s="24" t="n"/>
      <c r="C139" s="24" t="n"/>
      <c r="D139" s="24" t="n"/>
      <c r="E139" s="24" t="n"/>
      <c r="F139" s="24" t="n"/>
      <c r="G139" s="24" t="n"/>
      <c r="H139" s="24" t="n"/>
      <c r="I139" s="24" t="n"/>
      <c r="J139" s="24" t="n"/>
      <c r="K139" s="12">
        <f>I139-B139-J139</f>
        <v/>
      </c>
      <c r="L139" s="12">
        <f>IFERROR(B139/C139,"")</f>
        <v/>
      </c>
      <c r="M139" s="12">
        <f>IFERROR(B139/D139,"")</f>
        <v/>
      </c>
      <c r="N139" s="12">
        <f>ROUND(I139*$S$6,0)</f>
        <v/>
      </c>
      <c r="O139" s="25">
        <f>IF(A139&gt;TODAY(),"—",IF(SUM(B139:J139)=0,"⬜ ยังไม่บันทึก",IF(AND(D139&gt;=$S$4,IFERROR(B139/D139,0)&lt;=$S$5),"✅ ผ่าน","⚠️ ต้องปรับ")))</f>
        <v/>
      </c>
      <c r="P139" s="26" t="n"/>
    </row>
    <row r="140">
      <c r="A140" s="23" t="n">
        <v>46396</v>
      </c>
      <c r="B140" s="24" t="n"/>
      <c r="C140" s="24" t="n"/>
      <c r="D140" s="24" t="n"/>
      <c r="E140" s="24" t="n"/>
      <c r="F140" s="24" t="n"/>
      <c r="G140" s="24" t="n"/>
      <c r="H140" s="24" t="n"/>
      <c r="I140" s="24" t="n"/>
      <c r="J140" s="24" t="n"/>
      <c r="K140" s="12">
        <f>I140-B140-J140</f>
        <v/>
      </c>
      <c r="L140" s="12">
        <f>IFERROR(B140/C140,"")</f>
        <v/>
      </c>
      <c r="M140" s="12">
        <f>IFERROR(B140/D140,"")</f>
        <v/>
      </c>
      <c r="N140" s="12">
        <f>ROUND(I140*$S$6,0)</f>
        <v/>
      </c>
      <c r="O140" s="25">
        <f>IF(A140&gt;TODAY(),"—",IF(SUM(B140:J140)=0,"⬜ ยังไม่บันทึก",IF(AND(D140&gt;=$S$4,IFERROR(B140/D140,0)&lt;=$S$5),"✅ ผ่าน","⚠️ ต้องปรับ")))</f>
        <v/>
      </c>
      <c r="P140" s="26" t="n"/>
    </row>
    <row r="141">
      <c r="A141" s="23" t="n">
        <v>46397</v>
      </c>
      <c r="B141" s="24" t="n"/>
      <c r="C141" s="24" t="n"/>
      <c r="D141" s="24" t="n"/>
      <c r="E141" s="24" t="n"/>
      <c r="F141" s="24" t="n"/>
      <c r="G141" s="24" t="n"/>
      <c r="H141" s="24" t="n"/>
      <c r="I141" s="24" t="n"/>
      <c r="J141" s="24" t="n"/>
      <c r="K141" s="12">
        <f>I141-B141-J141</f>
        <v/>
      </c>
      <c r="L141" s="12">
        <f>IFERROR(B141/C141,"")</f>
        <v/>
      </c>
      <c r="M141" s="12">
        <f>IFERROR(B141/D141,"")</f>
        <v/>
      </c>
      <c r="N141" s="12">
        <f>ROUND(I141*$S$6,0)</f>
        <v/>
      </c>
      <c r="O141" s="25">
        <f>IF(A141&gt;TODAY(),"—",IF(SUM(B141:J141)=0,"⬜ ยังไม่บันทึก",IF(AND(D141&gt;=$S$4,IFERROR(B141/D141,0)&lt;=$S$5),"✅ ผ่าน","⚠️ ต้องปรับ")))</f>
        <v/>
      </c>
      <c r="P141" s="26" t="n"/>
    </row>
    <row r="142">
      <c r="A142" s="23" t="n">
        <v>46398</v>
      </c>
      <c r="B142" s="24" t="n"/>
      <c r="C142" s="24" t="n"/>
      <c r="D142" s="24" t="n"/>
      <c r="E142" s="24" t="n"/>
      <c r="F142" s="24" t="n"/>
      <c r="G142" s="24" t="n"/>
      <c r="H142" s="24" t="n"/>
      <c r="I142" s="24" t="n"/>
      <c r="J142" s="24" t="n"/>
      <c r="K142" s="12">
        <f>I142-B142-J142</f>
        <v/>
      </c>
      <c r="L142" s="12">
        <f>IFERROR(B142/C142,"")</f>
        <v/>
      </c>
      <c r="M142" s="12">
        <f>IFERROR(B142/D142,"")</f>
        <v/>
      </c>
      <c r="N142" s="12">
        <f>ROUND(I142*$S$6,0)</f>
        <v/>
      </c>
      <c r="O142" s="25">
        <f>IF(A142&gt;TODAY(),"—",IF(SUM(B142:J142)=0,"⬜ ยังไม่บันทึก",IF(AND(D142&gt;=$S$4,IFERROR(B142/D142,0)&lt;=$S$5),"✅ ผ่าน","⚠️ ต้องปรับ")))</f>
        <v/>
      </c>
      <c r="P142" s="26" t="n"/>
    </row>
    <row r="143">
      <c r="A143" s="23" t="n">
        <v>46399</v>
      </c>
      <c r="B143" s="24" t="n"/>
      <c r="C143" s="24" t="n"/>
      <c r="D143" s="24" t="n"/>
      <c r="E143" s="24" t="n"/>
      <c r="F143" s="24" t="n"/>
      <c r="G143" s="24" t="n"/>
      <c r="H143" s="24" t="n"/>
      <c r="I143" s="24" t="n"/>
      <c r="J143" s="24" t="n"/>
      <c r="K143" s="12">
        <f>I143-B143-J143</f>
        <v/>
      </c>
      <c r="L143" s="12">
        <f>IFERROR(B143/C143,"")</f>
        <v/>
      </c>
      <c r="M143" s="12">
        <f>IFERROR(B143/D143,"")</f>
        <v/>
      </c>
      <c r="N143" s="12">
        <f>ROUND(I143*$S$6,0)</f>
        <v/>
      </c>
      <c r="O143" s="25">
        <f>IF(A143&gt;TODAY(),"—",IF(SUM(B143:J143)=0,"⬜ ยังไม่บันทึก",IF(AND(D143&gt;=$S$4,IFERROR(B143/D143,0)&lt;=$S$5),"✅ ผ่าน","⚠️ ต้องปรับ")))</f>
        <v/>
      </c>
      <c r="P143" s="26" t="n"/>
    </row>
    <row r="144">
      <c r="A144" s="23" t="n">
        <v>46400</v>
      </c>
      <c r="B144" s="24" t="n"/>
      <c r="C144" s="24" t="n"/>
      <c r="D144" s="24" t="n"/>
      <c r="E144" s="24" t="n"/>
      <c r="F144" s="24" t="n"/>
      <c r="G144" s="24" t="n"/>
      <c r="H144" s="24" t="n"/>
      <c r="I144" s="24" t="n"/>
      <c r="J144" s="24" t="n"/>
      <c r="K144" s="12">
        <f>I144-B144-J144</f>
        <v/>
      </c>
      <c r="L144" s="12">
        <f>IFERROR(B144/C144,"")</f>
        <v/>
      </c>
      <c r="M144" s="12">
        <f>IFERROR(B144/D144,"")</f>
        <v/>
      </c>
      <c r="N144" s="12">
        <f>ROUND(I144*$S$6,0)</f>
        <v/>
      </c>
      <c r="O144" s="25">
        <f>IF(A144&gt;TODAY(),"—",IF(SUM(B144:J144)=0,"⬜ ยังไม่บันทึก",IF(AND(D144&gt;=$S$4,IFERROR(B144/D144,0)&lt;=$S$5),"✅ ผ่าน","⚠️ ต้องปรับ")))</f>
        <v/>
      </c>
      <c r="P144" s="26" t="n"/>
    </row>
    <row r="145">
      <c r="A145" s="23" t="n">
        <v>46401</v>
      </c>
      <c r="B145" s="24" t="n"/>
      <c r="C145" s="24" t="n"/>
      <c r="D145" s="24" t="n"/>
      <c r="E145" s="24" t="n"/>
      <c r="F145" s="24" t="n"/>
      <c r="G145" s="24" t="n"/>
      <c r="H145" s="24" t="n"/>
      <c r="I145" s="24" t="n"/>
      <c r="J145" s="24" t="n"/>
      <c r="K145" s="12">
        <f>I145-B145-J145</f>
        <v/>
      </c>
      <c r="L145" s="12">
        <f>IFERROR(B145/C145,"")</f>
        <v/>
      </c>
      <c r="M145" s="12">
        <f>IFERROR(B145/D145,"")</f>
        <v/>
      </c>
      <c r="N145" s="12">
        <f>ROUND(I145*$S$6,0)</f>
        <v/>
      </c>
      <c r="O145" s="25">
        <f>IF(A145&gt;TODAY(),"—",IF(SUM(B145:J145)=0,"⬜ ยังไม่บันทึก",IF(AND(D145&gt;=$S$4,IFERROR(B145/D145,0)&lt;=$S$5),"✅ ผ่าน","⚠️ ต้องปรับ")))</f>
        <v/>
      </c>
      <c r="P145" s="26" t="n"/>
    </row>
    <row r="146">
      <c r="A146" s="23" t="n">
        <v>46402</v>
      </c>
      <c r="B146" s="24" t="n"/>
      <c r="C146" s="24" t="n"/>
      <c r="D146" s="24" t="n"/>
      <c r="E146" s="24" t="n"/>
      <c r="F146" s="24" t="n"/>
      <c r="G146" s="24" t="n"/>
      <c r="H146" s="24" t="n"/>
      <c r="I146" s="24" t="n"/>
      <c r="J146" s="24" t="n"/>
      <c r="K146" s="12">
        <f>I146-B146-J146</f>
        <v/>
      </c>
      <c r="L146" s="12">
        <f>IFERROR(B146/C146,"")</f>
        <v/>
      </c>
      <c r="M146" s="12">
        <f>IFERROR(B146/D146,"")</f>
        <v/>
      </c>
      <c r="N146" s="12">
        <f>ROUND(I146*$S$6,0)</f>
        <v/>
      </c>
      <c r="O146" s="25">
        <f>IF(A146&gt;TODAY(),"—",IF(SUM(B146:J146)=0,"⬜ ยังไม่บันทึก",IF(AND(D146&gt;=$S$4,IFERROR(B146/D146,0)&lt;=$S$5),"✅ ผ่าน","⚠️ ต้องปรับ")))</f>
        <v/>
      </c>
      <c r="P146" s="26" t="n"/>
    </row>
    <row r="147">
      <c r="A147" s="23" t="n">
        <v>46403</v>
      </c>
      <c r="B147" s="24" t="n"/>
      <c r="C147" s="24" t="n"/>
      <c r="D147" s="24" t="n"/>
      <c r="E147" s="24" t="n"/>
      <c r="F147" s="24" t="n"/>
      <c r="G147" s="24" t="n"/>
      <c r="H147" s="24" t="n"/>
      <c r="I147" s="24" t="n"/>
      <c r="J147" s="24" t="n"/>
      <c r="K147" s="12">
        <f>I147-B147-J147</f>
        <v/>
      </c>
      <c r="L147" s="12">
        <f>IFERROR(B147/C147,"")</f>
        <v/>
      </c>
      <c r="M147" s="12">
        <f>IFERROR(B147/D147,"")</f>
        <v/>
      </c>
      <c r="N147" s="12">
        <f>ROUND(I147*$S$6,0)</f>
        <v/>
      </c>
      <c r="O147" s="25">
        <f>IF(A147&gt;TODAY(),"—",IF(SUM(B147:J147)=0,"⬜ ยังไม่บันทึก",IF(AND(D147&gt;=$S$4,IFERROR(B147/D147,0)&lt;=$S$5),"✅ ผ่าน","⚠️ ต้องปรับ")))</f>
        <v/>
      </c>
      <c r="P147" s="26" t="n"/>
    </row>
    <row r="148">
      <c r="A148" s="23" t="n">
        <v>46404</v>
      </c>
      <c r="B148" s="24" t="n"/>
      <c r="C148" s="24" t="n"/>
      <c r="D148" s="24" t="n"/>
      <c r="E148" s="24" t="n"/>
      <c r="F148" s="24" t="n"/>
      <c r="G148" s="24" t="n"/>
      <c r="H148" s="24" t="n"/>
      <c r="I148" s="24" t="n"/>
      <c r="J148" s="24" t="n"/>
      <c r="K148" s="12">
        <f>I148-B148-J148</f>
        <v/>
      </c>
      <c r="L148" s="12">
        <f>IFERROR(B148/C148,"")</f>
        <v/>
      </c>
      <c r="M148" s="12">
        <f>IFERROR(B148/D148,"")</f>
        <v/>
      </c>
      <c r="N148" s="12">
        <f>ROUND(I148*$S$6,0)</f>
        <v/>
      </c>
      <c r="O148" s="25">
        <f>IF(A148&gt;TODAY(),"—",IF(SUM(B148:J148)=0,"⬜ ยังไม่บันทึก",IF(AND(D148&gt;=$S$4,IFERROR(B148/D148,0)&lt;=$S$5),"✅ ผ่าน","⚠️ ต้องปรับ")))</f>
        <v/>
      </c>
      <c r="P148" s="26" t="n"/>
    </row>
    <row r="149">
      <c r="A149" s="23" t="n">
        <v>46405</v>
      </c>
      <c r="B149" s="24" t="n"/>
      <c r="C149" s="24" t="n"/>
      <c r="D149" s="24" t="n"/>
      <c r="E149" s="24" t="n"/>
      <c r="F149" s="24" t="n"/>
      <c r="G149" s="24" t="n"/>
      <c r="H149" s="24" t="n"/>
      <c r="I149" s="24" t="n"/>
      <c r="J149" s="24" t="n"/>
      <c r="K149" s="12">
        <f>I149-B149-J149</f>
        <v/>
      </c>
      <c r="L149" s="12">
        <f>IFERROR(B149/C149,"")</f>
        <v/>
      </c>
      <c r="M149" s="12">
        <f>IFERROR(B149/D149,"")</f>
        <v/>
      </c>
      <c r="N149" s="12">
        <f>ROUND(I149*$S$6,0)</f>
        <v/>
      </c>
      <c r="O149" s="25">
        <f>IF(A149&gt;TODAY(),"—",IF(SUM(B149:J149)=0,"⬜ ยังไม่บันทึก",IF(AND(D149&gt;=$S$4,IFERROR(B149/D149,0)&lt;=$S$5),"✅ ผ่าน","⚠️ ต้องปรับ")))</f>
        <v/>
      </c>
      <c r="P149" s="26" t="n"/>
    </row>
    <row r="150">
      <c r="A150" s="23" t="n">
        <v>46406</v>
      </c>
      <c r="B150" s="24" t="n"/>
      <c r="C150" s="24" t="n"/>
      <c r="D150" s="24" t="n"/>
      <c r="E150" s="24" t="n"/>
      <c r="F150" s="24" t="n"/>
      <c r="G150" s="24" t="n"/>
      <c r="H150" s="24" t="n"/>
      <c r="I150" s="24" t="n"/>
      <c r="J150" s="24" t="n"/>
      <c r="K150" s="12">
        <f>I150-B150-J150</f>
        <v/>
      </c>
      <c r="L150" s="12">
        <f>IFERROR(B150/C150,"")</f>
        <v/>
      </c>
      <c r="M150" s="12">
        <f>IFERROR(B150/D150,"")</f>
        <v/>
      </c>
      <c r="N150" s="12">
        <f>ROUND(I150*$S$6,0)</f>
        <v/>
      </c>
      <c r="O150" s="25">
        <f>IF(A150&gt;TODAY(),"—",IF(SUM(B150:J150)=0,"⬜ ยังไม่บันทึก",IF(AND(D150&gt;=$S$4,IFERROR(B150/D150,0)&lt;=$S$5),"✅ ผ่าน","⚠️ ต้องปรับ")))</f>
        <v/>
      </c>
      <c r="P150" s="26" t="n"/>
    </row>
    <row r="151">
      <c r="A151" s="23" t="n">
        <v>46407</v>
      </c>
      <c r="B151" s="24" t="n"/>
      <c r="C151" s="24" t="n"/>
      <c r="D151" s="24" t="n"/>
      <c r="E151" s="24" t="n"/>
      <c r="F151" s="24" t="n"/>
      <c r="G151" s="24" t="n"/>
      <c r="H151" s="24" t="n"/>
      <c r="I151" s="24" t="n"/>
      <c r="J151" s="24" t="n"/>
      <c r="K151" s="12">
        <f>I151-B151-J151</f>
        <v/>
      </c>
      <c r="L151" s="12">
        <f>IFERROR(B151/C151,"")</f>
        <v/>
      </c>
      <c r="M151" s="12">
        <f>IFERROR(B151/D151,"")</f>
        <v/>
      </c>
      <c r="N151" s="12">
        <f>ROUND(I151*$S$6,0)</f>
        <v/>
      </c>
      <c r="O151" s="25">
        <f>IF(A151&gt;TODAY(),"—",IF(SUM(B151:J151)=0,"⬜ ยังไม่บันทึก",IF(AND(D151&gt;=$S$4,IFERROR(B151/D151,0)&lt;=$S$5),"✅ ผ่าน","⚠️ ต้องปรับ")))</f>
        <v/>
      </c>
      <c r="P151" s="26" t="n"/>
    </row>
    <row r="152">
      <c r="A152" s="23" t="n">
        <v>46408</v>
      </c>
      <c r="B152" s="24" t="n"/>
      <c r="C152" s="24" t="n"/>
      <c r="D152" s="24" t="n"/>
      <c r="E152" s="24" t="n"/>
      <c r="F152" s="24" t="n"/>
      <c r="G152" s="24" t="n"/>
      <c r="H152" s="24" t="n"/>
      <c r="I152" s="24" t="n"/>
      <c r="J152" s="24" t="n"/>
      <c r="K152" s="12">
        <f>I152-B152-J152</f>
        <v/>
      </c>
      <c r="L152" s="12">
        <f>IFERROR(B152/C152,"")</f>
        <v/>
      </c>
      <c r="M152" s="12">
        <f>IFERROR(B152/D152,"")</f>
        <v/>
      </c>
      <c r="N152" s="12">
        <f>ROUND(I152*$S$6,0)</f>
        <v/>
      </c>
      <c r="O152" s="25">
        <f>IF(A152&gt;TODAY(),"—",IF(SUM(B152:J152)=0,"⬜ ยังไม่บันทึก",IF(AND(D152&gt;=$S$4,IFERROR(B152/D152,0)&lt;=$S$5),"✅ ผ่าน","⚠️ ต้องปรับ")))</f>
        <v/>
      </c>
      <c r="P152" s="26" t="n"/>
    </row>
    <row r="153">
      <c r="A153" s="23" t="n">
        <v>46409</v>
      </c>
      <c r="B153" s="24" t="n"/>
      <c r="C153" s="24" t="n"/>
      <c r="D153" s="24" t="n"/>
      <c r="E153" s="24" t="n"/>
      <c r="F153" s="24" t="n"/>
      <c r="G153" s="24" t="n"/>
      <c r="H153" s="24" t="n"/>
      <c r="I153" s="24" t="n"/>
      <c r="J153" s="24" t="n"/>
      <c r="K153" s="12">
        <f>I153-B153-J153</f>
        <v/>
      </c>
      <c r="L153" s="12">
        <f>IFERROR(B153/C153,"")</f>
        <v/>
      </c>
      <c r="M153" s="12">
        <f>IFERROR(B153/D153,"")</f>
        <v/>
      </c>
      <c r="N153" s="12">
        <f>ROUND(I153*$S$6,0)</f>
        <v/>
      </c>
      <c r="O153" s="25">
        <f>IF(A153&gt;TODAY(),"—",IF(SUM(B153:J153)=0,"⬜ ยังไม่บันทึก",IF(AND(D153&gt;=$S$4,IFERROR(B153/D153,0)&lt;=$S$5),"✅ ผ่าน","⚠️ ต้องปรับ")))</f>
        <v/>
      </c>
      <c r="P153" s="26" t="n"/>
    </row>
    <row r="154">
      <c r="A154" s="23" t="n">
        <v>46410</v>
      </c>
      <c r="B154" s="24" t="n"/>
      <c r="C154" s="24" t="n"/>
      <c r="D154" s="24" t="n"/>
      <c r="E154" s="24" t="n"/>
      <c r="F154" s="24" t="n"/>
      <c r="G154" s="24" t="n"/>
      <c r="H154" s="24" t="n"/>
      <c r="I154" s="24" t="n"/>
      <c r="J154" s="24" t="n"/>
      <c r="K154" s="12">
        <f>I154-B154-J154</f>
        <v/>
      </c>
      <c r="L154" s="12">
        <f>IFERROR(B154/C154,"")</f>
        <v/>
      </c>
      <c r="M154" s="12">
        <f>IFERROR(B154/D154,"")</f>
        <v/>
      </c>
      <c r="N154" s="12">
        <f>ROUND(I154*$S$6,0)</f>
        <v/>
      </c>
      <c r="O154" s="25">
        <f>IF(A154&gt;TODAY(),"—",IF(SUM(B154:J154)=0,"⬜ ยังไม่บันทึก",IF(AND(D154&gt;=$S$4,IFERROR(B154/D154,0)&lt;=$S$5),"✅ ผ่าน","⚠️ ต้องปรับ")))</f>
        <v/>
      </c>
      <c r="P154" s="26" t="n"/>
    </row>
    <row r="155">
      <c r="A155" s="23" t="n">
        <v>46411</v>
      </c>
      <c r="B155" s="24" t="n"/>
      <c r="C155" s="24" t="n"/>
      <c r="D155" s="24" t="n"/>
      <c r="E155" s="24" t="n"/>
      <c r="F155" s="24" t="n"/>
      <c r="G155" s="24" t="n"/>
      <c r="H155" s="24" t="n"/>
      <c r="I155" s="24" t="n"/>
      <c r="J155" s="24" t="n"/>
      <c r="K155" s="12">
        <f>I155-B155-J155</f>
        <v/>
      </c>
      <c r="L155" s="12">
        <f>IFERROR(B155/C155,"")</f>
        <v/>
      </c>
      <c r="M155" s="12">
        <f>IFERROR(B155/D155,"")</f>
        <v/>
      </c>
      <c r="N155" s="12">
        <f>ROUND(I155*$S$6,0)</f>
        <v/>
      </c>
      <c r="O155" s="25">
        <f>IF(A155&gt;TODAY(),"—",IF(SUM(B155:J155)=0,"⬜ ยังไม่บันทึก",IF(AND(D155&gt;=$S$4,IFERROR(B155/D155,0)&lt;=$S$5),"✅ ผ่าน","⚠️ ต้องปรับ")))</f>
        <v/>
      </c>
      <c r="P155" s="26" t="n"/>
    </row>
    <row r="156">
      <c r="A156" s="23" t="n">
        <v>46412</v>
      </c>
      <c r="B156" s="24" t="n"/>
      <c r="C156" s="24" t="n"/>
      <c r="D156" s="24" t="n"/>
      <c r="E156" s="24" t="n"/>
      <c r="F156" s="24" t="n"/>
      <c r="G156" s="24" t="n"/>
      <c r="H156" s="24" t="n"/>
      <c r="I156" s="24" t="n"/>
      <c r="J156" s="24" t="n"/>
      <c r="K156" s="12">
        <f>I156-B156-J156</f>
        <v/>
      </c>
      <c r="L156" s="12">
        <f>IFERROR(B156/C156,"")</f>
        <v/>
      </c>
      <c r="M156" s="12">
        <f>IFERROR(B156/D156,"")</f>
        <v/>
      </c>
      <c r="N156" s="12">
        <f>ROUND(I156*$S$6,0)</f>
        <v/>
      </c>
      <c r="O156" s="25">
        <f>IF(A156&gt;TODAY(),"—",IF(SUM(B156:J156)=0,"⬜ ยังไม่บันทึก",IF(AND(D156&gt;=$S$4,IFERROR(B156/D156,0)&lt;=$S$5),"✅ ผ่าน","⚠️ ต้องปรับ")))</f>
        <v/>
      </c>
      <c r="P156" s="26" t="n"/>
    </row>
    <row r="157">
      <c r="A157" s="23" t="n">
        <v>46413</v>
      </c>
      <c r="B157" s="24" t="n"/>
      <c r="C157" s="24" t="n"/>
      <c r="D157" s="24" t="n"/>
      <c r="E157" s="24" t="n"/>
      <c r="F157" s="24" t="n"/>
      <c r="G157" s="24" t="n"/>
      <c r="H157" s="24" t="n"/>
      <c r="I157" s="24" t="n"/>
      <c r="J157" s="24" t="n"/>
      <c r="K157" s="12">
        <f>I157-B157-J157</f>
        <v/>
      </c>
      <c r="L157" s="12">
        <f>IFERROR(B157/C157,"")</f>
        <v/>
      </c>
      <c r="M157" s="12">
        <f>IFERROR(B157/D157,"")</f>
        <v/>
      </c>
      <c r="N157" s="12">
        <f>ROUND(I157*$S$6,0)</f>
        <v/>
      </c>
      <c r="O157" s="25">
        <f>IF(A157&gt;TODAY(),"—",IF(SUM(B157:J157)=0,"⬜ ยังไม่บันทึก",IF(AND(D157&gt;=$S$4,IFERROR(B157/D157,0)&lt;=$S$5),"✅ ผ่าน","⚠️ ต้องปรับ")))</f>
        <v/>
      </c>
      <c r="P157" s="26" t="n"/>
    </row>
    <row r="158">
      <c r="A158" s="23" t="n">
        <v>46414</v>
      </c>
      <c r="B158" s="24" t="n"/>
      <c r="C158" s="24" t="n"/>
      <c r="D158" s="24" t="n"/>
      <c r="E158" s="24" t="n"/>
      <c r="F158" s="24" t="n"/>
      <c r="G158" s="24" t="n"/>
      <c r="H158" s="24" t="n"/>
      <c r="I158" s="24" t="n"/>
      <c r="J158" s="24" t="n"/>
      <c r="K158" s="12">
        <f>I158-B158-J158</f>
        <v/>
      </c>
      <c r="L158" s="12">
        <f>IFERROR(B158/C158,"")</f>
        <v/>
      </c>
      <c r="M158" s="12">
        <f>IFERROR(B158/D158,"")</f>
        <v/>
      </c>
      <c r="N158" s="12">
        <f>ROUND(I158*$S$6,0)</f>
        <v/>
      </c>
      <c r="O158" s="25">
        <f>IF(A158&gt;TODAY(),"—",IF(SUM(B158:J158)=0,"⬜ ยังไม่บันทึก",IF(AND(D158&gt;=$S$4,IFERROR(B158/D158,0)&lt;=$S$5),"✅ ผ่าน","⚠️ ต้องปรับ")))</f>
        <v/>
      </c>
      <c r="P158" s="26" t="n"/>
    </row>
    <row r="159">
      <c r="A159" s="23" t="n">
        <v>46415</v>
      </c>
      <c r="B159" s="24" t="n"/>
      <c r="C159" s="24" t="n"/>
      <c r="D159" s="24" t="n"/>
      <c r="E159" s="24" t="n"/>
      <c r="F159" s="24" t="n"/>
      <c r="G159" s="24" t="n"/>
      <c r="H159" s="24" t="n"/>
      <c r="I159" s="24" t="n"/>
      <c r="J159" s="24" t="n"/>
      <c r="K159" s="12">
        <f>I159-B159-J159</f>
        <v/>
      </c>
      <c r="L159" s="12">
        <f>IFERROR(B159/C159,"")</f>
        <v/>
      </c>
      <c r="M159" s="12">
        <f>IFERROR(B159/D159,"")</f>
        <v/>
      </c>
      <c r="N159" s="12">
        <f>ROUND(I159*$S$6,0)</f>
        <v/>
      </c>
      <c r="O159" s="25">
        <f>IF(A159&gt;TODAY(),"—",IF(SUM(B159:J159)=0,"⬜ ยังไม่บันทึก",IF(AND(D159&gt;=$S$4,IFERROR(B159/D159,0)&lt;=$S$5),"✅ ผ่าน","⚠️ ต้องปรับ")))</f>
        <v/>
      </c>
      <c r="P159" s="26" t="n"/>
    </row>
    <row r="160">
      <c r="A160" s="23" t="n">
        <v>46416</v>
      </c>
      <c r="B160" s="24" t="n"/>
      <c r="C160" s="24" t="n"/>
      <c r="D160" s="24" t="n"/>
      <c r="E160" s="24" t="n"/>
      <c r="F160" s="24" t="n"/>
      <c r="G160" s="24" t="n"/>
      <c r="H160" s="24" t="n"/>
      <c r="I160" s="24" t="n"/>
      <c r="J160" s="24" t="n"/>
      <c r="K160" s="12">
        <f>I160-B160-J160</f>
        <v/>
      </c>
      <c r="L160" s="12">
        <f>IFERROR(B160/C160,"")</f>
        <v/>
      </c>
      <c r="M160" s="12">
        <f>IFERROR(B160/D160,"")</f>
        <v/>
      </c>
      <c r="N160" s="12">
        <f>ROUND(I160*$S$6,0)</f>
        <v/>
      </c>
      <c r="O160" s="25">
        <f>IF(A160&gt;TODAY(),"—",IF(SUM(B160:J160)=0,"⬜ ยังไม่บันทึก",IF(AND(D160&gt;=$S$4,IFERROR(B160/D160,0)&lt;=$S$5),"✅ ผ่าน","⚠️ ต้องปรับ")))</f>
        <v/>
      </c>
      <c r="P160" s="26" t="n"/>
    </row>
    <row r="161">
      <c r="A161" s="23" t="n">
        <v>46417</v>
      </c>
      <c r="B161" s="24" t="n"/>
      <c r="C161" s="24" t="n"/>
      <c r="D161" s="24" t="n"/>
      <c r="E161" s="24" t="n"/>
      <c r="F161" s="24" t="n"/>
      <c r="G161" s="24" t="n"/>
      <c r="H161" s="24" t="n"/>
      <c r="I161" s="24" t="n"/>
      <c r="J161" s="24" t="n"/>
      <c r="K161" s="12">
        <f>I161-B161-J161</f>
        <v/>
      </c>
      <c r="L161" s="12">
        <f>IFERROR(B161/C161,"")</f>
        <v/>
      </c>
      <c r="M161" s="12">
        <f>IFERROR(B161/D161,"")</f>
        <v/>
      </c>
      <c r="N161" s="12">
        <f>ROUND(I161*$S$6,0)</f>
        <v/>
      </c>
      <c r="O161" s="25">
        <f>IF(A161&gt;TODAY(),"—",IF(SUM(B161:J161)=0,"⬜ ยังไม่บันทึก",IF(AND(D161&gt;=$S$4,IFERROR(B161/D161,0)&lt;=$S$5),"✅ ผ่าน","⚠️ ต้องปรับ")))</f>
        <v/>
      </c>
      <c r="P161" s="26" t="n"/>
    </row>
    <row r="162">
      <c r="A162" s="23" t="n">
        <v>46418</v>
      </c>
      <c r="B162" s="24" t="n"/>
      <c r="C162" s="24" t="n"/>
      <c r="D162" s="24" t="n"/>
      <c r="E162" s="24" t="n"/>
      <c r="F162" s="24" t="n"/>
      <c r="G162" s="24" t="n"/>
      <c r="H162" s="24" t="n"/>
      <c r="I162" s="24" t="n"/>
      <c r="J162" s="24" t="n"/>
      <c r="K162" s="12">
        <f>I162-B162-J162</f>
        <v/>
      </c>
      <c r="L162" s="12">
        <f>IFERROR(B162/C162,"")</f>
        <v/>
      </c>
      <c r="M162" s="12">
        <f>IFERROR(B162/D162,"")</f>
        <v/>
      </c>
      <c r="N162" s="12">
        <f>ROUND(I162*$S$6,0)</f>
        <v/>
      </c>
      <c r="O162" s="25">
        <f>IF(A162&gt;TODAY(),"—",IF(SUM(B162:J162)=0,"⬜ ยังไม่บันทึก",IF(AND(D162&gt;=$S$4,IFERROR(B162/D162,0)&lt;=$S$5),"✅ ผ่าน","⚠️ ต้องปรับ")))</f>
        <v/>
      </c>
      <c r="P162" s="26" t="n"/>
    </row>
    <row r="163">
      <c r="A163" s="31" t="n">
        <v>46419</v>
      </c>
      <c r="B163" s="24" t="n"/>
      <c r="C163" s="24" t="n"/>
      <c r="D163" s="24" t="n"/>
      <c r="E163" s="24" t="n"/>
      <c r="F163" s="24" t="n"/>
      <c r="G163" s="24" t="n"/>
      <c r="H163" s="24" t="n"/>
      <c r="I163" s="24" t="n"/>
      <c r="J163" s="24" t="n"/>
      <c r="K163" s="12">
        <f>I163-B163-J163</f>
        <v/>
      </c>
      <c r="L163" s="12">
        <f>IFERROR(B163/C163,"")</f>
        <v/>
      </c>
      <c r="M163" s="12">
        <f>IFERROR(B163/D163,"")</f>
        <v/>
      </c>
      <c r="N163" s="12">
        <f>ROUND(I163*$S$6,0)</f>
        <v/>
      </c>
      <c r="O163" s="25">
        <f>IF(A163&gt;TODAY(),"—",IF(SUM(B163:J163)=0,"⬜ ยังไม่บันทึก",IF(AND(D163&gt;=$S$4,IFERROR(B163/D163,0)&lt;=$S$5),"✅ ผ่าน","⚠️ ต้องปรับ")))</f>
        <v/>
      </c>
      <c r="P163" s="26" t="n"/>
    </row>
    <row r="164">
      <c r="A164" s="23" t="n">
        <v>46420</v>
      </c>
      <c r="B164" s="24" t="n"/>
      <c r="C164" s="24" t="n"/>
      <c r="D164" s="24" t="n"/>
      <c r="E164" s="24" t="n"/>
      <c r="F164" s="24" t="n"/>
      <c r="G164" s="24" t="n"/>
      <c r="H164" s="24" t="n"/>
      <c r="I164" s="24" t="n"/>
      <c r="J164" s="24" t="n"/>
      <c r="K164" s="12">
        <f>I164-B164-J164</f>
        <v/>
      </c>
      <c r="L164" s="12">
        <f>IFERROR(B164/C164,"")</f>
        <v/>
      </c>
      <c r="M164" s="12">
        <f>IFERROR(B164/D164,"")</f>
        <v/>
      </c>
      <c r="N164" s="12">
        <f>ROUND(I164*$S$6,0)</f>
        <v/>
      </c>
      <c r="O164" s="25">
        <f>IF(A164&gt;TODAY(),"—",IF(SUM(B164:J164)=0,"⬜ ยังไม่บันทึก",IF(AND(D164&gt;=$S$4,IFERROR(B164/D164,0)&lt;=$S$5),"✅ ผ่าน","⚠️ ต้องปรับ")))</f>
        <v/>
      </c>
      <c r="P164" s="26" t="n"/>
    </row>
    <row r="165">
      <c r="A165" s="23" t="n">
        <v>46421</v>
      </c>
      <c r="B165" s="24" t="n"/>
      <c r="C165" s="24" t="n"/>
      <c r="D165" s="24" t="n"/>
      <c r="E165" s="24" t="n"/>
      <c r="F165" s="24" t="n"/>
      <c r="G165" s="24" t="n"/>
      <c r="H165" s="24" t="n"/>
      <c r="I165" s="24" t="n"/>
      <c r="J165" s="24" t="n"/>
      <c r="K165" s="12">
        <f>I165-B165-J165</f>
        <v/>
      </c>
      <c r="L165" s="12">
        <f>IFERROR(B165/C165,"")</f>
        <v/>
      </c>
      <c r="M165" s="12">
        <f>IFERROR(B165/D165,"")</f>
        <v/>
      </c>
      <c r="N165" s="12">
        <f>ROUND(I165*$S$6,0)</f>
        <v/>
      </c>
      <c r="O165" s="25">
        <f>IF(A165&gt;TODAY(),"—",IF(SUM(B165:J165)=0,"⬜ ยังไม่บันทึก",IF(AND(D165&gt;=$S$4,IFERROR(B165/D165,0)&lt;=$S$5),"✅ ผ่าน","⚠️ ต้องปรับ")))</f>
        <v/>
      </c>
      <c r="P165" s="26" t="n"/>
    </row>
    <row r="166">
      <c r="A166" s="23" t="n">
        <v>46422</v>
      </c>
      <c r="B166" s="24" t="n"/>
      <c r="C166" s="24" t="n"/>
      <c r="D166" s="24" t="n"/>
      <c r="E166" s="24" t="n"/>
      <c r="F166" s="24" t="n"/>
      <c r="G166" s="24" t="n"/>
      <c r="H166" s="24" t="n"/>
      <c r="I166" s="24" t="n"/>
      <c r="J166" s="24" t="n"/>
      <c r="K166" s="12">
        <f>I166-B166-J166</f>
        <v/>
      </c>
      <c r="L166" s="12">
        <f>IFERROR(B166/C166,"")</f>
        <v/>
      </c>
      <c r="M166" s="12">
        <f>IFERROR(B166/D166,"")</f>
        <v/>
      </c>
      <c r="N166" s="12">
        <f>ROUND(I166*$S$6,0)</f>
        <v/>
      </c>
      <c r="O166" s="25">
        <f>IF(A166&gt;TODAY(),"—",IF(SUM(B166:J166)=0,"⬜ ยังไม่บันทึก",IF(AND(D166&gt;=$S$4,IFERROR(B166/D166,0)&lt;=$S$5),"✅ ผ่าน","⚠️ ต้องปรับ")))</f>
        <v/>
      </c>
      <c r="P166" s="26" t="n"/>
    </row>
    <row r="167">
      <c r="A167" s="23" t="n">
        <v>46423</v>
      </c>
      <c r="B167" s="24" t="n"/>
      <c r="C167" s="24" t="n"/>
      <c r="D167" s="24" t="n"/>
      <c r="E167" s="24" t="n"/>
      <c r="F167" s="24" t="n"/>
      <c r="G167" s="24" t="n"/>
      <c r="H167" s="24" t="n"/>
      <c r="I167" s="24" t="n"/>
      <c r="J167" s="24" t="n"/>
      <c r="K167" s="12">
        <f>I167-B167-J167</f>
        <v/>
      </c>
      <c r="L167" s="12">
        <f>IFERROR(B167/C167,"")</f>
        <v/>
      </c>
      <c r="M167" s="12">
        <f>IFERROR(B167/D167,"")</f>
        <v/>
      </c>
      <c r="N167" s="12">
        <f>ROUND(I167*$S$6,0)</f>
        <v/>
      </c>
      <c r="O167" s="25">
        <f>IF(A167&gt;TODAY(),"—",IF(SUM(B167:J167)=0,"⬜ ยังไม่บันทึก",IF(AND(D167&gt;=$S$4,IFERROR(B167/D167,0)&lt;=$S$5),"✅ ผ่าน","⚠️ ต้องปรับ")))</f>
        <v/>
      </c>
      <c r="P167" s="26" t="n"/>
    </row>
    <row r="168">
      <c r="A168" s="23" t="n">
        <v>46424</v>
      </c>
      <c r="B168" s="24" t="n"/>
      <c r="C168" s="24" t="n"/>
      <c r="D168" s="24" t="n"/>
      <c r="E168" s="24" t="n"/>
      <c r="F168" s="24" t="n"/>
      <c r="G168" s="24" t="n"/>
      <c r="H168" s="24" t="n"/>
      <c r="I168" s="24" t="n"/>
      <c r="J168" s="24" t="n"/>
      <c r="K168" s="12">
        <f>I168-B168-J168</f>
        <v/>
      </c>
      <c r="L168" s="12">
        <f>IFERROR(B168/C168,"")</f>
        <v/>
      </c>
      <c r="M168" s="12">
        <f>IFERROR(B168/D168,"")</f>
        <v/>
      </c>
      <c r="N168" s="12">
        <f>ROUND(I168*$S$6,0)</f>
        <v/>
      </c>
      <c r="O168" s="25">
        <f>IF(A168&gt;TODAY(),"—",IF(SUM(B168:J168)=0,"⬜ ยังไม่บันทึก",IF(AND(D168&gt;=$S$4,IFERROR(B168/D168,0)&lt;=$S$5),"✅ ผ่าน","⚠️ ต้องปรับ")))</f>
        <v/>
      </c>
      <c r="P168" s="26" t="n"/>
    </row>
    <row r="169">
      <c r="A169" s="23" t="n">
        <v>46425</v>
      </c>
      <c r="B169" s="24" t="n"/>
      <c r="C169" s="24" t="n"/>
      <c r="D169" s="24" t="n"/>
      <c r="E169" s="24" t="n"/>
      <c r="F169" s="24" t="n"/>
      <c r="G169" s="24" t="n"/>
      <c r="H169" s="24" t="n"/>
      <c r="I169" s="24" t="n"/>
      <c r="J169" s="24" t="n"/>
      <c r="K169" s="12">
        <f>I169-B169-J169</f>
        <v/>
      </c>
      <c r="L169" s="12">
        <f>IFERROR(B169/C169,"")</f>
        <v/>
      </c>
      <c r="M169" s="12">
        <f>IFERROR(B169/D169,"")</f>
        <v/>
      </c>
      <c r="N169" s="12">
        <f>ROUND(I169*$S$6,0)</f>
        <v/>
      </c>
      <c r="O169" s="25">
        <f>IF(A169&gt;TODAY(),"—",IF(SUM(B169:J169)=0,"⬜ ยังไม่บันทึก",IF(AND(D169&gt;=$S$4,IFERROR(B169/D169,0)&lt;=$S$5),"✅ ผ่าน","⚠️ ต้องปรับ")))</f>
        <v/>
      </c>
      <c r="P169" s="26" t="n"/>
    </row>
    <row r="170">
      <c r="A170" s="23" t="n">
        <v>46426</v>
      </c>
      <c r="B170" s="24" t="n"/>
      <c r="C170" s="24" t="n"/>
      <c r="D170" s="24" t="n"/>
      <c r="E170" s="24" t="n"/>
      <c r="F170" s="24" t="n"/>
      <c r="G170" s="24" t="n"/>
      <c r="H170" s="24" t="n"/>
      <c r="I170" s="24" t="n"/>
      <c r="J170" s="24" t="n"/>
      <c r="K170" s="12">
        <f>I170-B170-J170</f>
        <v/>
      </c>
      <c r="L170" s="12">
        <f>IFERROR(B170/C170,"")</f>
        <v/>
      </c>
      <c r="M170" s="12">
        <f>IFERROR(B170/D170,"")</f>
        <v/>
      </c>
      <c r="N170" s="12">
        <f>ROUND(I170*$S$6,0)</f>
        <v/>
      </c>
      <c r="O170" s="25">
        <f>IF(A170&gt;TODAY(),"—",IF(SUM(B170:J170)=0,"⬜ ยังไม่บันทึก",IF(AND(D170&gt;=$S$4,IFERROR(B170/D170,0)&lt;=$S$5),"✅ ผ่าน","⚠️ ต้องปรับ")))</f>
        <v/>
      </c>
      <c r="P170" s="26" t="n"/>
    </row>
    <row r="171">
      <c r="A171" s="23" t="n">
        <v>46427</v>
      </c>
      <c r="B171" s="24" t="n"/>
      <c r="C171" s="24" t="n"/>
      <c r="D171" s="24" t="n"/>
      <c r="E171" s="24" t="n"/>
      <c r="F171" s="24" t="n"/>
      <c r="G171" s="24" t="n"/>
      <c r="H171" s="24" t="n"/>
      <c r="I171" s="24" t="n"/>
      <c r="J171" s="24" t="n"/>
      <c r="K171" s="12">
        <f>I171-B171-J171</f>
        <v/>
      </c>
      <c r="L171" s="12">
        <f>IFERROR(B171/C171,"")</f>
        <v/>
      </c>
      <c r="M171" s="12">
        <f>IFERROR(B171/D171,"")</f>
        <v/>
      </c>
      <c r="N171" s="12">
        <f>ROUND(I171*$S$6,0)</f>
        <v/>
      </c>
      <c r="O171" s="25">
        <f>IF(A171&gt;TODAY(),"—",IF(SUM(B171:J171)=0,"⬜ ยังไม่บันทึก",IF(AND(D171&gt;=$S$4,IFERROR(B171/D171,0)&lt;=$S$5),"✅ ผ่าน","⚠️ ต้องปรับ")))</f>
        <v/>
      </c>
      <c r="P171" s="26" t="n"/>
    </row>
    <row r="172">
      <c r="A172" s="23" t="n">
        <v>46428</v>
      </c>
      <c r="B172" s="24" t="n"/>
      <c r="C172" s="24" t="n"/>
      <c r="D172" s="24" t="n"/>
      <c r="E172" s="24" t="n"/>
      <c r="F172" s="24" t="n"/>
      <c r="G172" s="24" t="n"/>
      <c r="H172" s="24" t="n"/>
      <c r="I172" s="24" t="n"/>
      <c r="J172" s="24" t="n"/>
      <c r="K172" s="12">
        <f>I172-B172-J172</f>
        <v/>
      </c>
      <c r="L172" s="12">
        <f>IFERROR(B172/C172,"")</f>
        <v/>
      </c>
      <c r="M172" s="12">
        <f>IFERROR(B172/D172,"")</f>
        <v/>
      </c>
      <c r="N172" s="12">
        <f>ROUND(I172*$S$6,0)</f>
        <v/>
      </c>
      <c r="O172" s="25">
        <f>IF(A172&gt;TODAY(),"—",IF(SUM(B172:J172)=0,"⬜ ยังไม่บันทึก",IF(AND(D172&gt;=$S$4,IFERROR(B172/D172,0)&lt;=$S$5),"✅ ผ่าน","⚠️ ต้องปรับ")))</f>
        <v/>
      </c>
      <c r="P172" s="26" t="n"/>
    </row>
    <row r="173">
      <c r="A173" s="23" t="n">
        <v>46429</v>
      </c>
      <c r="B173" s="24" t="n"/>
      <c r="C173" s="24" t="n"/>
      <c r="D173" s="24" t="n"/>
      <c r="E173" s="24" t="n"/>
      <c r="F173" s="24" t="n"/>
      <c r="G173" s="24" t="n"/>
      <c r="H173" s="24" t="n"/>
      <c r="I173" s="24" t="n"/>
      <c r="J173" s="24" t="n"/>
      <c r="K173" s="12">
        <f>I173-B173-J173</f>
        <v/>
      </c>
      <c r="L173" s="12">
        <f>IFERROR(B173/C173,"")</f>
        <v/>
      </c>
      <c r="M173" s="12">
        <f>IFERROR(B173/D173,"")</f>
        <v/>
      </c>
      <c r="N173" s="12">
        <f>ROUND(I173*$S$6,0)</f>
        <v/>
      </c>
      <c r="O173" s="25">
        <f>IF(A173&gt;TODAY(),"—",IF(SUM(B173:J173)=0,"⬜ ยังไม่บันทึก",IF(AND(D173&gt;=$S$4,IFERROR(B173/D173,0)&lt;=$S$5),"✅ ผ่าน","⚠️ ต้องปรับ")))</f>
        <v/>
      </c>
      <c r="P173" s="26" t="n"/>
    </row>
    <row r="174">
      <c r="A174" s="23" t="n">
        <v>46430</v>
      </c>
      <c r="B174" s="24" t="n"/>
      <c r="C174" s="24" t="n"/>
      <c r="D174" s="24" t="n"/>
      <c r="E174" s="24" t="n"/>
      <c r="F174" s="24" t="n"/>
      <c r="G174" s="24" t="n"/>
      <c r="H174" s="24" t="n"/>
      <c r="I174" s="24" t="n"/>
      <c r="J174" s="24" t="n"/>
      <c r="K174" s="12">
        <f>I174-B174-J174</f>
        <v/>
      </c>
      <c r="L174" s="12">
        <f>IFERROR(B174/C174,"")</f>
        <v/>
      </c>
      <c r="M174" s="12">
        <f>IFERROR(B174/D174,"")</f>
        <v/>
      </c>
      <c r="N174" s="12">
        <f>ROUND(I174*$S$6,0)</f>
        <v/>
      </c>
      <c r="O174" s="25">
        <f>IF(A174&gt;TODAY(),"—",IF(SUM(B174:J174)=0,"⬜ ยังไม่บันทึก",IF(AND(D174&gt;=$S$4,IFERROR(B174/D174,0)&lt;=$S$5),"✅ ผ่าน","⚠️ ต้องปรับ")))</f>
        <v/>
      </c>
      <c r="P174" s="26" t="n"/>
    </row>
    <row r="175">
      <c r="A175" s="23" t="n">
        <v>46431</v>
      </c>
      <c r="B175" s="24" t="n"/>
      <c r="C175" s="24" t="n"/>
      <c r="D175" s="24" t="n"/>
      <c r="E175" s="24" t="n"/>
      <c r="F175" s="24" t="n"/>
      <c r="G175" s="24" t="n"/>
      <c r="H175" s="24" t="n"/>
      <c r="I175" s="24" t="n"/>
      <c r="J175" s="24" t="n"/>
      <c r="K175" s="12">
        <f>I175-B175-J175</f>
        <v/>
      </c>
      <c r="L175" s="12">
        <f>IFERROR(B175/C175,"")</f>
        <v/>
      </c>
      <c r="M175" s="12">
        <f>IFERROR(B175/D175,"")</f>
        <v/>
      </c>
      <c r="N175" s="12">
        <f>ROUND(I175*$S$6,0)</f>
        <v/>
      </c>
      <c r="O175" s="25">
        <f>IF(A175&gt;TODAY(),"—",IF(SUM(B175:J175)=0,"⬜ ยังไม่บันทึก",IF(AND(D175&gt;=$S$4,IFERROR(B175/D175,0)&lt;=$S$5),"✅ ผ่าน","⚠️ ต้องปรับ")))</f>
        <v/>
      </c>
      <c r="P175" s="26" t="n"/>
    </row>
    <row r="176">
      <c r="A176" s="23" t="n">
        <v>46432</v>
      </c>
      <c r="B176" s="24" t="n"/>
      <c r="C176" s="24" t="n"/>
      <c r="D176" s="24" t="n"/>
      <c r="E176" s="24" t="n"/>
      <c r="F176" s="24" t="n"/>
      <c r="G176" s="24" t="n"/>
      <c r="H176" s="24" t="n"/>
      <c r="I176" s="24" t="n"/>
      <c r="J176" s="24" t="n"/>
      <c r="K176" s="12">
        <f>I176-B176-J176</f>
        <v/>
      </c>
      <c r="L176" s="12">
        <f>IFERROR(B176/C176,"")</f>
        <v/>
      </c>
      <c r="M176" s="12">
        <f>IFERROR(B176/D176,"")</f>
        <v/>
      </c>
      <c r="N176" s="12">
        <f>ROUND(I176*$S$6,0)</f>
        <v/>
      </c>
      <c r="O176" s="25">
        <f>IF(A176&gt;TODAY(),"—",IF(SUM(B176:J176)=0,"⬜ ยังไม่บันทึก",IF(AND(D176&gt;=$S$4,IFERROR(B176/D176,0)&lt;=$S$5),"✅ ผ่าน","⚠️ ต้องปรับ")))</f>
        <v/>
      </c>
      <c r="P176" s="26" t="n"/>
    </row>
    <row r="177">
      <c r="A177" s="23" t="n">
        <v>46433</v>
      </c>
      <c r="B177" s="24" t="n"/>
      <c r="C177" s="24" t="n"/>
      <c r="D177" s="24" t="n"/>
      <c r="E177" s="24" t="n"/>
      <c r="F177" s="24" t="n"/>
      <c r="G177" s="24" t="n"/>
      <c r="H177" s="24" t="n"/>
      <c r="I177" s="24" t="n"/>
      <c r="J177" s="24" t="n"/>
      <c r="K177" s="12">
        <f>I177-B177-J177</f>
        <v/>
      </c>
      <c r="L177" s="12">
        <f>IFERROR(B177/C177,"")</f>
        <v/>
      </c>
      <c r="M177" s="12">
        <f>IFERROR(B177/D177,"")</f>
        <v/>
      </c>
      <c r="N177" s="12">
        <f>ROUND(I177*$S$6,0)</f>
        <v/>
      </c>
      <c r="O177" s="25">
        <f>IF(A177&gt;TODAY(),"—",IF(SUM(B177:J177)=0,"⬜ ยังไม่บันทึก",IF(AND(D177&gt;=$S$4,IFERROR(B177/D177,0)&lt;=$S$5),"✅ ผ่าน","⚠️ ต้องปรับ")))</f>
        <v/>
      </c>
      <c r="P177" s="26" t="n"/>
    </row>
    <row r="178">
      <c r="A178" s="23" t="n">
        <v>46434</v>
      </c>
      <c r="B178" s="24" t="n"/>
      <c r="C178" s="24" t="n"/>
      <c r="D178" s="24" t="n"/>
      <c r="E178" s="24" t="n"/>
      <c r="F178" s="24" t="n"/>
      <c r="G178" s="24" t="n"/>
      <c r="H178" s="24" t="n"/>
      <c r="I178" s="24" t="n"/>
      <c r="J178" s="24" t="n"/>
      <c r="K178" s="12">
        <f>I178-B178-J178</f>
        <v/>
      </c>
      <c r="L178" s="12">
        <f>IFERROR(B178/C178,"")</f>
        <v/>
      </c>
      <c r="M178" s="12">
        <f>IFERROR(B178/D178,"")</f>
        <v/>
      </c>
      <c r="N178" s="12">
        <f>ROUND(I178*$S$6,0)</f>
        <v/>
      </c>
      <c r="O178" s="25">
        <f>IF(A178&gt;TODAY(),"—",IF(SUM(B178:J178)=0,"⬜ ยังไม่บันทึก",IF(AND(D178&gt;=$S$4,IFERROR(B178/D178,0)&lt;=$S$5),"✅ ผ่าน","⚠️ ต้องปรับ")))</f>
        <v/>
      </c>
      <c r="P178" s="26" t="n"/>
    </row>
    <row r="179">
      <c r="A179" s="23" t="n">
        <v>46435</v>
      </c>
      <c r="B179" s="24" t="n"/>
      <c r="C179" s="24" t="n"/>
      <c r="D179" s="24" t="n"/>
      <c r="E179" s="24" t="n"/>
      <c r="F179" s="24" t="n"/>
      <c r="G179" s="24" t="n"/>
      <c r="H179" s="24" t="n"/>
      <c r="I179" s="24" t="n"/>
      <c r="J179" s="24" t="n"/>
      <c r="K179" s="12">
        <f>I179-B179-J179</f>
        <v/>
      </c>
      <c r="L179" s="12">
        <f>IFERROR(B179/C179,"")</f>
        <v/>
      </c>
      <c r="M179" s="12">
        <f>IFERROR(B179/D179,"")</f>
        <v/>
      </c>
      <c r="N179" s="12">
        <f>ROUND(I179*$S$6,0)</f>
        <v/>
      </c>
      <c r="O179" s="25">
        <f>IF(A179&gt;TODAY(),"—",IF(SUM(B179:J179)=0,"⬜ ยังไม่บันทึก",IF(AND(D179&gt;=$S$4,IFERROR(B179/D179,0)&lt;=$S$5),"✅ ผ่าน","⚠️ ต้องปรับ")))</f>
        <v/>
      </c>
      <c r="P179" s="26" t="n"/>
    </row>
    <row r="180">
      <c r="A180" s="23" t="n">
        <v>46436</v>
      </c>
      <c r="B180" s="24" t="n"/>
      <c r="C180" s="24" t="n"/>
      <c r="D180" s="24" t="n"/>
      <c r="E180" s="24" t="n"/>
      <c r="F180" s="24" t="n"/>
      <c r="G180" s="24" t="n"/>
      <c r="H180" s="24" t="n"/>
      <c r="I180" s="24" t="n"/>
      <c r="J180" s="24" t="n"/>
      <c r="K180" s="12">
        <f>I180-B180-J180</f>
        <v/>
      </c>
      <c r="L180" s="12">
        <f>IFERROR(B180/C180,"")</f>
        <v/>
      </c>
      <c r="M180" s="12">
        <f>IFERROR(B180/D180,"")</f>
        <v/>
      </c>
      <c r="N180" s="12">
        <f>ROUND(I180*$S$6,0)</f>
        <v/>
      </c>
      <c r="O180" s="25">
        <f>IF(A180&gt;TODAY(),"—",IF(SUM(B180:J180)=0,"⬜ ยังไม่บันทึก",IF(AND(D180&gt;=$S$4,IFERROR(B180/D180,0)&lt;=$S$5),"✅ ผ่าน","⚠️ ต้องปรับ")))</f>
        <v/>
      </c>
      <c r="P180" s="26" t="n"/>
    </row>
    <row r="181">
      <c r="A181" s="23" t="n">
        <v>46437</v>
      </c>
      <c r="B181" s="24" t="n"/>
      <c r="C181" s="24" t="n"/>
      <c r="D181" s="24" t="n"/>
      <c r="E181" s="24" t="n"/>
      <c r="F181" s="24" t="n"/>
      <c r="G181" s="24" t="n"/>
      <c r="H181" s="24" t="n"/>
      <c r="I181" s="24" t="n"/>
      <c r="J181" s="24" t="n"/>
      <c r="K181" s="12">
        <f>I181-B181-J181</f>
        <v/>
      </c>
      <c r="L181" s="12">
        <f>IFERROR(B181/C181,"")</f>
        <v/>
      </c>
      <c r="M181" s="12">
        <f>IFERROR(B181/D181,"")</f>
        <v/>
      </c>
      <c r="N181" s="12">
        <f>ROUND(I181*$S$6,0)</f>
        <v/>
      </c>
      <c r="O181" s="25">
        <f>IF(A181&gt;TODAY(),"—",IF(SUM(B181:J181)=0,"⬜ ยังไม่บันทึก",IF(AND(D181&gt;=$S$4,IFERROR(B181/D181,0)&lt;=$S$5),"✅ ผ่าน","⚠️ ต้องปรับ")))</f>
        <v/>
      </c>
      <c r="P181" s="26" t="n"/>
    </row>
    <row r="182">
      <c r="A182" s="23" t="n">
        <v>46438</v>
      </c>
      <c r="B182" s="24" t="n"/>
      <c r="C182" s="24" t="n"/>
      <c r="D182" s="24" t="n"/>
      <c r="E182" s="24" t="n"/>
      <c r="F182" s="24" t="n"/>
      <c r="G182" s="24" t="n"/>
      <c r="H182" s="24" t="n"/>
      <c r="I182" s="24" t="n"/>
      <c r="J182" s="24" t="n"/>
      <c r="K182" s="12">
        <f>I182-B182-J182</f>
        <v/>
      </c>
      <c r="L182" s="12">
        <f>IFERROR(B182/C182,"")</f>
        <v/>
      </c>
      <c r="M182" s="12">
        <f>IFERROR(B182/D182,"")</f>
        <v/>
      </c>
      <c r="N182" s="12">
        <f>ROUND(I182*$S$6,0)</f>
        <v/>
      </c>
      <c r="O182" s="25">
        <f>IF(A182&gt;TODAY(),"—",IF(SUM(B182:J182)=0,"⬜ ยังไม่บันทึก",IF(AND(D182&gt;=$S$4,IFERROR(B182/D182,0)&lt;=$S$5),"✅ ผ่าน","⚠️ ต้องปรับ")))</f>
        <v/>
      </c>
      <c r="P182" s="26" t="n"/>
    </row>
    <row r="183">
      <c r="A183" s="23" t="n">
        <v>46439</v>
      </c>
      <c r="B183" s="24" t="n"/>
      <c r="C183" s="24" t="n"/>
      <c r="D183" s="24" t="n"/>
      <c r="E183" s="24" t="n"/>
      <c r="F183" s="24" t="n"/>
      <c r="G183" s="24" t="n"/>
      <c r="H183" s="24" t="n"/>
      <c r="I183" s="24" t="n"/>
      <c r="J183" s="24" t="n"/>
      <c r="K183" s="12">
        <f>I183-B183-J183</f>
        <v/>
      </c>
      <c r="L183" s="12">
        <f>IFERROR(B183/C183,"")</f>
        <v/>
      </c>
      <c r="M183" s="12">
        <f>IFERROR(B183/D183,"")</f>
        <v/>
      </c>
      <c r="N183" s="12">
        <f>ROUND(I183*$S$6,0)</f>
        <v/>
      </c>
      <c r="O183" s="25">
        <f>IF(A183&gt;TODAY(),"—",IF(SUM(B183:J183)=0,"⬜ ยังไม่บันทึก",IF(AND(D183&gt;=$S$4,IFERROR(B183/D183,0)&lt;=$S$5),"✅ ผ่าน","⚠️ ต้องปรับ")))</f>
        <v/>
      </c>
      <c r="P183" s="26" t="n"/>
    </row>
    <row r="184">
      <c r="A184" s="23" t="n">
        <v>46440</v>
      </c>
      <c r="B184" s="24" t="n"/>
      <c r="C184" s="24" t="n"/>
      <c r="D184" s="24" t="n"/>
      <c r="E184" s="24" t="n"/>
      <c r="F184" s="24" t="n"/>
      <c r="G184" s="24" t="n"/>
      <c r="H184" s="24" t="n"/>
      <c r="I184" s="24" t="n"/>
      <c r="J184" s="24" t="n"/>
      <c r="K184" s="12">
        <f>I184-B184-J184</f>
        <v/>
      </c>
      <c r="L184" s="12">
        <f>IFERROR(B184/C184,"")</f>
        <v/>
      </c>
      <c r="M184" s="12">
        <f>IFERROR(B184/D184,"")</f>
        <v/>
      </c>
      <c r="N184" s="12">
        <f>ROUND(I184*$S$6,0)</f>
        <v/>
      </c>
      <c r="O184" s="25">
        <f>IF(A184&gt;TODAY(),"—",IF(SUM(B184:J184)=0,"⬜ ยังไม่บันทึก",IF(AND(D184&gt;=$S$4,IFERROR(B184/D184,0)&lt;=$S$5),"✅ ผ่าน","⚠️ ต้องปรับ")))</f>
        <v/>
      </c>
      <c r="P184" s="26" t="n"/>
    </row>
    <row r="185">
      <c r="A185" s="23" t="n">
        <v>46441</v>
      </c>
      <c r="B185" s="24" t="n"/>
      <c r="C185" s="24" t="n"/>
      <c r="D185" s="24" t="n"/>
      <c r="E185" s="24" t="n"/>
      <c r="F185" s="24" t="n"/>
      <c r="G185" s="24" t="n"/>
      <c r="H185" s="24" t="n"/>
      <c r="I185" s="24" t="n"/>
      <c r="J185" s="24" t="n"/>
      <c r="K185" s="12">
        <f>I185-B185-J185</f>
        <v/>
      </c>
      <c r="L185" s="12">
        <f>IFERROR(B185/C185,"")</f>
        <v/>
      </c>
      <c r="M185" s="12">
        <f>IFERROR(B185/D185,"")</f>
        <v/>
      </c>
      <c r="N185" s="12">
        <f>ROUND(I185*$S$6,0)</f>
        <v/>
      </c>
      <c r="O185" s="25">
        <f>IF(A185&gt;TODAY(),"—",IF(SUM(B185:J185)=0,"⬜ ยังไม่บันทึก",IF(AND(D185&gt;=$S$4,IFERROR(B185/D185,0)&lt;=$S$5),"✅ ผ่าน","⚠️ ต้องปรับ")))</f>
        <v/>
      </c>
      <c r="P185" s="26" t="n"/>
    </row>
    <row r="186">
      <c r="A186" s="23" t="n">
        <v>46442</v>
      </c>
      <c r="B186" s="24" t="n"/>
      <c r="C186" s="24" t="n"/>
      <c r="D186" s="24" t="n"/>
      <c r="E186" s="24" t="n"/>
      <c r="F186" s="24" t="n"/>
      <c r="G186" s="24" t="n"/>
      <c r="H186" s="24" t="n"/>
      <c r="I186" s="24" t="n"/>
      <c r="J186" s="24" t="n"/>
      <c r="K186" s="12">
        <f>I186-B186-J186</f>
        <v/>
      </c>
      <c r="L186" s="12">
        <f>IFERROR(B186/C186,"")</f>
        <v/>
      </c>
      <c r="M186" s="12">
        <f>IFERROR(B186/D186,"")</f>
        <v/>
      </c>
      <c r="N186" s="12">
        <f>ROUND(I186*$S$6,0)</f>
        <v/>
      </c>
      <c r="O186" s="25">
        <f>IF(A186&gt;TODAY(),"—",IF(SUM(B186:J186)=0,"⬜ ยังไม่บันทึก",IF(AND(D186&gt;=$S$4,IFERROR(B186/D186,0)&lt;=$S$5),"✅ ผ่าน","⚠️ ต้องปรับ")))</f>
        <v/>
      </c>
      <c r="P186" s="26" t="n"/>
    </row>
    <row r="187">
      <c r="A187" s="23" t="n">
        <v>46443</v>
      </c>
      <c r="B187" s="24" t="n"/>
      <c r="C187" s="24" t="n"/>
      <c r="D187" s="24" t="n"/>
      <c r="E187" s="24" t="n"/>
      <c r="F187" s="24" t="n"/>
      <c r="G187" s="24" t="n"/>
      <c r="H187" s="24" t="n"/>
      <c r="I187" s="24" t="n"/>
      <c r="J187" s="24" t="n"/>
      <c r="K187" s="12">
        <f>I187-B187-J187</f>
        <v/>
      </c>
      <c r="L187" s="12">
        <f>IFERROR(B187/C187,"")</f>
        <v/>
      </c>
      <c r="M187" s="12">
        <f>IFERROR(B187/D187,"")</f>
        <v/>
      </c>
      <c r="N187" s="12">
        <f>ROUND(I187*$S$6,0)</f>
        <v/>
      </c>
      <c r="O187" s="25">
        <f>IF(A187&gt;TODAY(),"—",IF(SUM(B187:J187)=0,"⬜ ยังไม่บันทึก",IF(AND(D187&gt;=$S$4,IFERROR(B187/D187,0)&lt;=$S$5),"✅ ผ่าน","⚠️ ต้องปรับ")))</f>
        <v/>
      </c>
      <c r="P187" s="26" t="n"/>
    </row>
    <row r="188">
      <c r="A188" s="23" t="n">
        <v>46444</v>
      </c>
      <c r="B188" s="24" t="n"/>
      <c r="C188" s="24" t="n"/>
      <c r="D188" s="24" t="n"/>
      <c r="E188" s="24" t="n"/>
      <c r="F188" s="24" t="n"/>
      <c r="G188" s="24" t="n"/>
      <c r="H188" s="24" t="n"/>
      <c r="I188" s="24" t="n"/>
      <c r="J188" s="24" t="n"/>
      <c r="K188" s="12">
        <f>I188-B188-J188</f>
        <v/>
      </c>
      <c r="L188" s="12">
        <f>IFERROR(B188/C188,"")</f>
        <v/>
      </c>
      <c r="M188" s="12">
        <f>IFERROR(B188/D188,"")</f>
        <v/>
      </c>
      <c r="N188" s="12">
        <f>ROUND(I188*$S$6,0)</f>
        <v/>
      </c>
      <c r="O188" s="25">
        <f>IF(A188&gt;TODAY(),"—",IF(SUM(B188:J188)=0,"⬜ ยังไม่บันทึก",IF(AND(D188&gt;=$S$4,IFERROR(B188/D188,0)&lt;=$S$5),"✅ ผ่าน","⚠️ ต้องปรับ")))</f>
        <v/>
      </c>
      <c r="P188" s="26" t="n"/>
    </row>
    <row r="189">
      <c r="A189" s="23" t="n">
        <v>46445</v>
      </c>
      <c r="B189" s="24" t="n"/>
      <c r="C189" s="24" t="n"/>
      <c r="D189" s="24" t="n"/>
      <c r="E189" s="24" t="n"/>
      <c r="F189" s="24" t="n"/>
      <c r="G189" s="24" t="n"/>
      <c r="H189" s="24" t="n"/>
      <c r="I189" s="24" t="n"/>
      <c r="J189" s="24" t="n"/>
      <c r="K189" s="12">
        <f>I189-B189-J189</f>
        <v/>
      </c>
      <c r="L189" s="12">
        <f>IFERROR(B189/C189,"")</f>
        <v/>
      </c>
      <c r="M189" s="12">
        <f>IFERROR(B189/D189,"")</f>
        <v/>
      </c>
      <c r="N189" s="12">
        <f>ROUND(I189*$S$6,0)</f>
        <v/>
      </c>
      <c r="O189" s="25">
        <f>IF(A189&gt;TODAY(),"—",IF(SUM(B189:J189)=0,"⬜ ยังไม่บันทึก",IF(AND(D189&gt;=$S$4,IFERROR(B189/D189,0)&lt;=$S$5),"✅ ผ่าน","⚠️ ต้องปรับ")))</f>
        <v/>
      </c>
      <c r="P189" s="26" t="n"/>
    </row>
    <row r="190">
      <c r="A190" s="23" t="n">
        <v>46446</v>
      </c>
      <c r="B190" s="24" t="n"/>
      <c r="C190" s="24" t="n"/>
      <c r="D190" s="24" t="n"/>
      <c r="E190" s="24" t="n"/>
      <c r="F190" s="24" t="n"/>
      <c r="G190" s="24" t="n"/>
      <c r="H190" s="24" t="n"/>
      <c r="I190" s="24" t="n"/>
      <c r="J190" s="24" t="n"/>
      <c r="K190" s="12">
        <f>I190-B190-J190</f>
        <v/>
      </c>
      <c r="L190" s="12">
        <f>IFERROR(B190/C190,"")</f>
        <v/>
      </c>
      <c r="M190" s="12">
        <f>IFERROR(B190/D190,"")</f>
        <v/>
      </c>
      <c r="N190" s="12">
        <f>ROUND(I190*$S$6,0)</f>
        <v/>
      </c>
      <c r="O190" s="25">
        <f>IF(A190&gt;TODAY(),"—",IF(SUM(B190:J190)=0,"⬜ ยังไม่บันทึก",IF(AND(D190&gt;=$S$4,IFERROR(B190/D190,0)&lt;=$S$5),"✅ ผ่าน","⚠️ ต้องปรับ")))</f>
        <v/>
      </c>
      <c r="P190" s="26" t="n"/>
    </row>
    <row r="191">
      <c r="A191" s="31" t="n">
        <v>46447</v>
      </c>
      <c r="B191" s="24" t="n"/>
      <c r="C191" s="24" t="n"/>
      <c r="D191" s="24" t="n"/>
      <c r="E191" s="24" t="n"/>
      <c r="F191" s="24" t="n"/>
      <c r="G191" s="24" t="n"/>
      <c r="H191" s="24" t="n"/>
      <c r="I191" s="24" t="n"/>
      <c r="J191" s="24" t="n"/>
      <c r="K191" s="12">
        <f>I191-B191-J191</f>
        <v/>
      </c>
      <c r="L191" s="12">
        <f>IFERROR(B191/C191,"")</f>
        <v/>
      </c>
      <c r="M191" s="12">
        <f>IFERROR(B191/D191,"")</f>
        <v/>
      </c>
      <c r="N191" s="12">
        <f>ROUND(I191*$S$6,0)</f>
        <v/>
      </c>
      <c r="O191" s="25">
        <f>IF(A191&gt;TODAY(),"—",IF(SUM(B191:J191)=0,"⬜ ยังไม่บันทึก",IF(AND(D191&gt;=$S$4,IFERROR(B191/D191,0)&lt;=$S$5),"✅ ผ่าน","⚠️ ต้องปรับ")))</f>
        <v/>
      </c>
      <c r="P191" s="26" t="n"/>
    </row>
    <row r="192">
      <c r="A192" s="23" t="n">
        <v>46448</v>
      </c>
      <c r="B192" s="24" t="n"/>
      <c r="C192" s="24" t="n"/>
      <c r="D192" s="24" t="n"/>
      <c r="E192" s="24" t="n"/>
      <c r="F192" s="24" t="n"/>
      <c r="G192" s="24" t="n"/>
      <c r="H192" s="24" t="n"/>
      <c r="I192" s="24" t="n"/>
      <c r="J192" s="24" t="n"/>
      <c r="K192" s="12">
        <f>I192-B192-J192</f>
        <v/>
      </c>
      <c r="L192" s="12">
        <f>IFERROR(B192/C192,"")</f>
        <v/>
      </c>
      <c r="M192" s="12">
        <f>IFERROR(B192/D192,"")</f>
        <v/>
      </c>
      <c r="N192" s="12">
        <f>ROUND(I192*$S$6,0)</f>
        <v/>
      </c>
      <c r="O192" s="25">
        <f>IF(A192&gt;TODAY(),"—",IF(SUM(B192:J192)=0,"⬜ ยังไม่บันทึก",IF(AND(D192&gt;=$S$4,IFERROR(B192/D192,0)&lt;=$S$5),"✅ ผ่าน","⚠️ ต้องปรับ")))</f>
        <v/>
      </c>
      <c r="P192" s="26" t="n"/>
    </row>
    <row r="193">
      <c r="A193" s="23" t="n">
        <v>46449</v>
      </c>
      <c r="B193" s="24" t="n"/>
      <c r="C193" s="24" t="n"/>
      <c r="D193" s="24" t="n"/>
      <c r="E193" s="24" t="n"/>
      <c r="F193" s="24" t="n"/>
      <c r="G193" s="24" t="n"/>
      <c r="H193" s="24" t="n"/>
      <c r="I193" s="24" t="n"/>
      <c r="J193" s="24" t="n"/>
      <c r="K193" s="12">
        <f>I193-B193-J193</f>
        <v/>
      </c>
      <c r="L193" s="12">
        <f>IFERROR(B193/C193,"")</f>
        <v/>
      </c>
      <c r="M193" s="12">
        <f>IFERROR(B193/D193,"")</f>
        <v/>
      </c>
      <c r="N193" s="12">
        <f>ROUND(I193*$S$6,0)</f>
        <v/>
      </c>
      <c r="O193" s="25">
        <f>IF(A193&gt;TODAY(),"—",IF(SUM(B193:J193)=0,"⬜ ยังไม่บันทึก",IF(AND(D193&gt;=$S$4,IFERROR(B193/D193,0)&lt;=$S$5),"✅ ผ่าน","⚠️ ต้องปรับ")))</f>
        <v/>
      </c>
      <c r="P193" s="26" t="n"/>
    </row>
    <row r="194">
      <c r="A194" s="23" t="n">
        <v>46450</v>
      </c>
      <c r="B194" s="24" t="n"/>
      <c r="C194" s="24" t="n"/>
      <c r="D194" s="24" t="n"/>
      <c r="E194" s="24" t="n"/>
      <c r="F194" s="24" t="n"/>
      <c r="G194" s="24" t="n"/>
      <c r="H194" s="24" t="n"/>
      <c r="I194" s="24" t="n"/>
      <c r="J194" s="24" t="n"/>
      <c r="K194" s="12">
        <f>I194-B194-J194</f>
        <v/>
      </c>
      <c r="L194" s="12">
        <f>IFERROR(B194/C194,"")</f>
        <v/>
      </c>
      <c r="M194" s="12">
        <f>IFERROR(B194/D194,"")</f>
        <v/>
      </c>
      <c r="N194" s="12">
        <f>ROUND(I194*$S$6,0)</f>
        <v/>
      </c>
      <c r="O194" s="25">
        <f>IF(A194&gt;TODAY(),"—",IF(SUM(B194:J194)=0,"⬜ ยังไม่บันทึก",IF(AND(D194&gt;=$S$4,IFERROR(B194/D194,0)&lt;=$S$5),"✅ ผ่าน","⚠️ ต้องปรับ")))</f>
        <v/>
      </c>
      <c r="P194" s="26" t="n"/>
    </row>
    <row r="195">
      <c r="A195" s="23" t="n">
        <v>46451</v>
      </c>
      <c r="B195" s="24" t="n"/>
      <c r="C195" s="24" t="n"/>
      <c r="D195" s="24" t="n"/>
      <c r="E195" s="24" t="n"/>
      <c r="F195" s="24" t="n"/>
      <c r="G195" s="24" t="n"/>
      <c r="H195" s="24" t="n"/>
      <c r="I195" s="24" t="n"/>
      <c r="J195" s="24" t="n"/>
      <c r="K195" s="12">
        <f>I195-B195-J195</f>
        <v/>
      </c>
      <c r="L195" s="12">
        <f>IFERROR(B195/C195,"")</f>
        <v/>
      </c>
      <c r="M195" s="12">
        <f>IFERROR(B195/D195,"")</f>
        <v/>
      </c>
      <c r="N195" s="12">
        <f>ROUND(I195*$S$6,0)</f>
        <v/>
      </c>
      <c r="O195" s="25">
        <f>IF(A195&gt;TODAY(),"—",IF(SUM(B195:J195)=0,"⬜ ยังไม่บันทึก",IF(AND(D195&gt;=$S$4,IFERROR(B195/D195,0)&lt;=$S$5),"✅ ผ่าน","⚠️ ต้องปรับ")))</f>
        <v/>
      </c>
      <c r="P195" s="26" t="n"/>
    </row>
    <row r="196">
      <c r="A196" s="23" t="n">
        <v>46452</v>
      </c>
      <c r="B196" s="24" t="n"/>
      <c r="C196" s="24" t="n"/>
      <c r="D196" s="24" t="n"/>
      <c r="E196" s="24" t="n"/>
      <c r="F196" s="24" t="n"/>
      <c r="G196" s="24" t="n"/>
      <c r="H196" s="24" t="n"/>
      <c r="I196" s="24" t="n"/>
      <c r="J196" s="24" t="n"/>
      <c r="K196" s="12">
        <f>I196-B196-J196</f>
        <v/>
      </c>
      <c r="L196" s="12">
        <f>IFERROR(B196/C196,"")</f>
        <v/>
      </c>
      <c r="M196" s="12">
        <f>IFERROR(B196/D196,"")</f>
        <v/>
      </c>
      <c r="N196" s="12">
        <f>ROUND(I196*$S$6,0)</f>
        <v/>
      </c>
      <c r="O196" s="25">
        <f>IF(A196&gt;TODAY(),"—",IF(SUM(B196:J196)=0,"⬜ ยังไม่บันทึก",IF(AND(D196&gt;=$S$4,IFERROR(B196/D196,0)&lt;=$S$5),"✅ ผ่าน","⚠️ ต้องปรับ")))</f>
        <v/>
      </c>
      <c r="P196" s="26" t="n"/>
    </row>
    <row r="197">
      <c r="A197" s="23" t="n">
        <v>46453</v>
      </c>
      <c r="B197" s="24" t="n"/>
      <c r="C197" s="24" t="n"/>
      <c r="D197" s="24" t="n"/>
      <c r="E197" s="24" t="n"/>
      <c r="F197" s="24" t="n"/>
      <c r="G197" s="24" t="n"/>
      <c r="H197" s="24" t="n"/>
      <c r="I197" s="24" t="n"/>
      <c r="J197" s="24" t="n"/>
      <c r="K197" s="12">
        <f>I197-B197-J197</f>
        <v/>
      </c>
      <c r="L197" s="12">
        <f>IFERROR(B197/C197,"")</f>
        <v/>
      </c>
      <c r="M197" s="12">
        <f>IFERROR(B197/D197,"")</f>
        <v/>
      </c>
      <c r="N197" s="12">
        <f>ROUND(I197*$S$6,0)</f>
        <v/>
      </c>
      <c r="O197" s="25">
        <f>IF(A197&gt;TODAY(),"—",IF(SUM(B197:J197)=0,"⬜ ยังไม่บันทึก",IF(AND(D197&gt;=$S$4,IFERROR(B197/D197,0)&lt;=$S$5),"✅ ผ่าน","⚠️ ต้องปรับ")))</f>
        <v/>
      </c>
      <c r="P197" s="26" t="n"/>
    </row>
    <row r="198">
      <c r="A198" s="23" t="n">
        <v>46454</v>
      </c>
      <c r="B198" s="24" t="n"/>
      <c r="C198" s="24" t="n"/>
      <c r="D198" s="24" t="n"/>
      <c r="E198" s="24" t="n"/>
      <c r="F198" s="24" t="n"/>
      <c r="G198" s="24" t="n"/>
      <c r="H198" s="24" t="n"/>
      <c r="I198" s="24" t="n"/>
      <c r="J198" s="24" t="n"/>
      <c r="K198" s="12">
        <f>I198-B198-J198</f>
        <v/>
      </c>
      <c r="L198" s="12">
        <f>IFERROR(B198/C198,"")</f>
        <v/>
      </c>
      <c r="M198" s="12">
        <f>IFERROR(B198/D198,"")</f>
        <v/>
      </c>
      <c r="N198" s="12">
        <f>ROUND(I198*$S$6,0)</f>
        <v/>
      </c>
      <c r="O198" s="25">
        <f>IF(A198&gt;TODAY(),"—",IF(SUM(B198:J198)=0,"⬜ ยังไม่บันทึก",IF(AND(D198&gt;=$S$4,IFERROR(B198/D198,0)&lt;=$S$5),"✅ ผ่าน","⚠️ ต้องปรับ")))</f>
        <v/>
      </c>
      <c r="P198" s="26" t="n"/>
    </row>
    <row r="199">
      <c r="A199" s="23" t="n">
        <v>46455</v>
      </c>
      <c r="B199" s="24" t="n"/>
      <c r="C199" s="24" t="n"/>
      <c r="D199" s="24" t="n"/>
      <c r="E199" s="24" t="n"/>
      <c r="F199" s="24" t="n"/>
      <c r="G199" s="24" t="n"/>
      <c r="H199" s="24" t="n"/>
      <c r="I199" s="24" t="n"/>
      <c r="J199" s="24" t="n"/>
      <c r="K199" s="12">
        <f>I199-B199-J199</f>
        <v/>
      </c>
      <c r="L199" s="12">
        <f>IFERROR(B199/C199,"")</f>
        <v/>
      </c>
      <c r="M199" s="12">
        <f>IFERROR(B199/D199,"")</f>
        <v/>
      </c>
      <c r="N199" s="12">
        <f>ROUND(I199*$S$6,0)</f>
        <v/>
      </c>
      <c r="O199" s="25">
        <f>IF(A199&gt;TODAY(),"—",IF(SUM(B199:J199)=0,"⬜ ยังไม่บันทึก",IF(AND(D199&gt;=$S$4,IFERROR(B199/D199,0)&lt;=$S$5),"✅ ผ่าน","⚠️ ต้องปรับ")))</f>
        <v/>
      </c>
      <c r="P199" s="26" t="n"/>
    </row>
    <row r="200">
      <c r="A200" s="23" t="n">
        <v>46456</v>
      </c>
      <c r="B200" s="24" t="n"/>
      <c r="C200" s="24" t="n"/>
      <c r="D200" s="24" t="n"/>
      <c r="E200" s="24" t="n"/>
      <c r="F200" s="24" t="n"/>
      <c r="G200" s="24" t="n"/>
      <c r="H200" s="24" t="n"/>
      <c r="I200" s="24" t="n"/>
      <c r="J200" s="24" t="n"/>
      <c r="K200" s="12">
        <f>I200-B200-J200</f>
        <v/>
      </c>
      <c r="L200" s="12">
        <f>IFERROR(B200/C200,"")</f>
        <v/>
      </c>
      <c r="M200" s="12">
        <f>IFERROR(B200/D200,"")</f>
        <v/>
      </c>
      <c r="N200" s="12">
        <f>ROUND(I200*$S$6,0)</f>
        <v/>
      </c>
      <c r="O200" s="25">
        <f>IF(A200&gt;TODAY(),"—",IF(SUM(B200:J200)=0,"⬜ ยังไม่บันทึก",IF(AND(D200&gt;=$S$4,IFERROR(B200/D200,0)&lt;=$S$5),"✅ ผ่าน","⚠️ ต้องปรับ")))</f>
        <v/>
      </c>
      <c r="P200" s="26" t="n"/>
    </row>
    <row r="201">
      <c r="A201" s="23" t="n">
        <v>46457</v>
      </c>
      <c r="B201" s="24" t="n"/>
      <c r="C201" s="24" t="n"/>
      <c r="D201" s="24" t="n"/>
      <c r="E201" s="24" t="n"/>
      <c r="F201" s="24" t="n"/>
      <c r="G201" s="24" t="n"/>
      <c r="H201" s="24" t="n"/>
      <c r="I201" s="24" t="n"/>
      <c r="J201" s="24" t="n"/>
      <c r="K201" s="12">
        <f>I201-B201-J201</f>
        <v/>
      </c>
      <c r="L201" s="12">
        <f>IFERROR(B201/C201,"")</f>
        <v/>
      </c>
      <c r="M201" s="12">
        <f>IFERROR(B201/D201,"")</f>
        <v/>
      </c>
      <c r="N201" s="12">
        <f>ROUND(I201*$S$6,0)</f>
        <v/>
      </c>
      <c r="O201" s="25">
        <f>IF(A201&gt;TODAY(),"—",IF(SUM(B201:J201)=0,"⬜ ยังไม่บันทึก",IF(AND(D201&gt;=$S$4,IFERROR(B201/D201,0)&lt;=$S$5),"✅ ผ่าน","⚠️ ต้องปรับ")))</f>
        <v/>
      </c>
      <c r="P201" s="26" t="n"/>
    </row>
    <row r="202">
      <c r="A202" s="23" t="n">
        <v>46458</v>
      </c>
      <c r="B202" s="24" t="n"/>
      <c r="C202" s="24" t="n"/>
      <c r="D202" s="24" t="n"/>
      <c r="E202" s="24" t="n"/>
      <c r="F202" s="24" t="n"/>
      <c r="G202" s="24" t="n"/>
      <c r="H202" s="24" t="n"/>
      <c r="I202" s="24" t="n"/>
      <c r="J202" s="24" t="n"/>
      <c r="K202" s="12">
        <f>I202-B202-J202</f>
        <v/>
      </c>
      <c r="L202" s="12">
        <f>IFERROR(B202/C202,"")</f>
        <v/>
      </c>
      <c r="M202" s="12">
        <f>IFERROR(B202/D202,"")</f>
        <v/>
      </c>
      <c r="N202" s="12">
        <f>ROUND(I202*$S$6,0)</f>
        <v/>
      </c>
      <c r="O202" s="25">
        <f>IF(A202&gt;TODAY(),"—",IF(SUM(B202:J202)=0,"⬜ ยังไม่บันทึก",IF(AND(D202&gt;=$S$4,IFERROR(B202/D202,0)&lt;=$S$5),"✅ ผ่าน","⚠️ ต้องปรับ")))</f>
        <v/>
      </c>
      <c r="P202" s="26" t="n"/>
    </row>
    <row r="203">
      <c r="A203" s="23" t="n">
        <v>46459</v>
      </c>
      <c r="B203" s="24" t="n"/>
      <c r="C203" s="24" t="n"/>
      <c r="D203" s="24" t="n"/>
      <c r="E203" s="24" t="n"/>
      <c r="F203" s="24" t="n"/>
      <c r="G203" s="24" t="n"/>
      <c r="H203" s="24" t="n"/>
      <c r="I203" s="24" t="n"/>
      <c r="J203" s="24" t="n"/>
      <c r="K203" s="12">
        <f>I203-B203-J203</f>
        <v/>
      </c>
      <c r="L203" s="12">
        <f>IFERROR(B203/C203,"")</f>
        <v/>
      </c>
      <c r="M203" s="12">
        <f>IFERROR(B203/D203,"")</f>
        <v/>
      </c>
      <c r="N203" s="12">
        <f>ROUND(I203*$S$6,0)</f>
        <v/>
      </c>
      <c r="O203" s="25">
        <f>IF(A203&gt;TODAY(),"—",IF(SUM(B203:J203)=0,"⬜ ยังไม่บันทึก",IF(AND(D203&gt;=$S$4,IFERROR(B203/D203,0)&lt;=$S$5),"✅ ผ่าน","⚠️ ต้องปรับ")))</f>
        <v/>
      </c>
      <c r="P203" s="26" t="n"/>
    </row>
    <row r="204">
      <c r="A204" s="23" t="n">
        <v>46460</v>
      </c>
      <c r="B204" s="24" t="n"/>
      <c r="C204" s="24" t="n"/>
      <c r="D204" s="24" t="n"/>
      <c r="E204" s="24" t="n"/>
      <c r="F204" s="24" t="n"/>
      <c r="G204" s="24" t="n"/>
      <c r="H204" s="24" t="n"/>
      <c r="I204" s="24" t="n"/>
      <c r="J204" s="24" t="n"/>
      <c r="K204" s="12">
        <f>I204-B204-J204</f>
        <v/>
      </c>
      <c r="L204" s="12">
        <f>IFERROR(B204/C204,"")</f>
        <v/>
      </c>
      <c r="M204" s="12">
        <f>IFERROR(B204/D204,"")</f>
        <v/>
      </c>
      <c r="N204" s="12">
        <f>ROUND(I204*$S$6,0)</f>
        <v/>
      </c>
      <c r="O204" s="25">
        <f>IF(A204&gt;TODAY(),"—",IF(SUM(B204:J204)=0,"⬜ ยังไม่บันทึก",IF(AND(D204&gt;=$S$4,IFERROR(B204/D204,0)&lt;=$S$5),"✅ ผ่าน","⚠️ ต้องปรับ")))</f>
        <v/>
      </c>
      <c r="P204" s="26" t="n"/>
    </row>
    <row r="205">
      <c r="A205" s="23" t="n">
        <v>46461</v>
      </c>
      <c r="B205" s="24" t="n"/>
      <c r="C205" s="24" t="n"/>
      <c r="D205" s="24" t="n"/>
      <c r="E205" s="24" t="n"/>
      <c r="F205" s="24" t="n"/>
      <c r="G205" s="24" t="n"/>
      <c r="H205" s="24" t="n"/>
      <c r="I205" s="24" t="n"/>
      <c r="J205" s="24" t="n"/>
      <c r="K205" s="12">
        <f>I205-B205-J205</f>
        <v/>
      </c>
      <c r="L205" s="12">
        <f>IFERROR(B205/C205,"")</f>
        <v/>
      </c>
      <c r="M205" s="12">
        <f>IFERROR(B205/D205,"")</f>
        <v/>
      </c>
      <c r="N205" s="12">
        <f>ROUND(I205*$S$6,0)</f>
        <v/>
      </c>
      <c r="O205" s="25">
        <f>IF(A205&gt;TODAY(),"—",IF(SUM(B205:J205)=0,"⬜ ยังไม่บันทึก",IF(AND(D205&gt;=$S$4,IFERROR(B205/D205,0)&lt;=$S$5),"✅ ผ่าน","⚠️ ต้องปรับ")))</f>
        <v/>
      </c>
      <c r="P205" s="26" t="n"/>
    </row>
    <row r="206">
      <c r="A206" s="23" t="n">
        <v>46462</v>
      </c>
      <c r="B206" s="24" t="n"/>
      <c r="C206" s="24" t="n"/>
      <c r="D206" s="24" t="n"/>
      <c r="E206" s="24" t="n"/>
      <c r="F206" s="24" t="n"/>
      <c r="G206" s="24" t="n"/>
      <c r="H206" s="24" t="n"/>
      <c r="I206" s="24" t="n"/>
      <c r="J206" s="24" t="n"/>
      <c r="K206" s="12">
        <f>I206-B206-J206</f>
        <v/>
      </c>
      <c r="L206" s="12">
        <f>IFERROR(B206/C206,"")</f>
        <v/>
      </c>
      <c r="M206" s="12">
        <f>IFERROR(B206/D206,"")</f>
        <v/>
      </c>
      <c r="N206" s="12">
        <f>ROUND(I206*$S$6,0)</f>
        <v/>
      </c>
      <c r="O206" s="25">
        <f>IF(A206&gt;TODAY(),"—",IF(SUM(B206:J206)=0,"⬜ ยังไม่บันทึก",IF(AND(D206&gt;=$S$4,IFERROR(B206/D206,0)&lt;=$S$5),"✅ ผ่าน","⚠️ ต้องปรับ")))</f>
        <v/>
      </c>
      <c r="P206" s="26" t="n"/>
    </row>
    <row r="207">
      <c r="A207" s="23" t="n">
        <v>46463</v>
      </c>
      <c r="B207" s="24" t="n"/>
      <c r="C207" s="24" t="n"/>
      <c r="D207" s="24" t="n"/>
      <c r="E207" s="24" t="n"/>
      <c r="F207" s="24" t="n"/>
      <c r="G207" s="24" t="n"/>
      <c r="H207" s="24" t="n"/>
      <c r="I207" s="24" t="n"/>
      <c r="J207" s="24" t="n"/>
      <c r="K207" s="12">
        <f>I207-B207-J207</f>
        <v/>
      </c>
      <c r="L207" s="12">
        <f>IFERROR(B207/C207,"")</f>
        <v/>
      </c>
      <c r="M207" s="12">
        <f>IFERROR(B207/D207,"")</f>
        <v/>
      </c>
      <c r="N207" s="12">
        <f>ROUND(I207*$S$6,0)</f>
        <v/>
      </c>
      <c r="O207" s="25">
        <f>IF(A207&gt;TODAY(),"—",IF(SUM(B207:J207)=0,"⬜ ยังไม่บันทึก",IF(AND(D207&gt;=$S$4,IFERROR(B207/D207,0)&lt;=$S$5),"✅ ผ่าน","⚠️ ต้องปรับ")))</f>
        <v/>
      </c>
      <c r="P207" s="26" t="n"/>
    </row>
    <row r="208">
      <c r="A208" s="23" t="n">
        <v>46464</v>
      </c>
      <c r="B208" s="24" t="n"/>
      <c r="C208" s="24" t="n"/>
      <c r="D208" s="24" t="n"/>
      <c r="E208" s="24" t="n"/>
      <c r="F208" s="24" t="n"/>
      <c r="G208" s="24" t="n"/>
      <c r="H208" s="24" t="n"/>
      <c r="I208" s="24" t="n"/>
      <c r="J208" s="24" t="n"/>
      <c r="K208" s="12">
        <f>I208-B208-J208</f>
        <v/>
      </c>
      <c r="L208" s="12">
        <f>IFERROR(B208/C208,"")</f>
        <v/>
      </c>
      <c r="M208" s="12">
        <f>IFERROR(B208/D208,"")</f>
        <v/>
      </c>
      <c r="N208" s="12">
        <f>ROUND(I208*$S$6,0)</f>
        <v/>
      </c>
      <c r="O208" s="25">
        <f>IF(A208&gt;TODAY(),"—",IF(SUM(B208:J208)=0,"⬜ ยังไม่บันทึก",IF(AND(D208&gt;=$S$4,IFERROR(B208/D208,0)&lt;=$S$5),"✅ ผ่าน","⚠️ ต้องปรับ")))</f>
        <v/>
      </c>
      <c r="P208" s="26" t="n"/>
    </row>
    <row r="209">
      <c r="A209" s="23" t="n">
        <v>46465</v>
      </c>
      <c r="B209" s="24" t="n"/>
      <c r="C209" s="24" t="n"/>
      <c r="D209" s="24" t="n"/>
      <c r="E209" s="24" t="n"/>
      <c r="F209" s="24" t="n"/>
      <c r="G209" s="24" t="n"/>
      <c r="H209" s="24" t="n"/>
      <c r="I209" s="24" t="n"/>
      <c r="J209" s="24" t="n"/>
      <c r="K209" s="12">
        <f>I209-B209-J209</f>
        <v/>
      </c>
      <c r="L209" s="12">
        <f>IFERROR(B209/C209,"")</f>
        <v/>
      </c>
      <c r="M209" s="12">
        <f>IFERROR(B209/D209,"")</f>
        <v/>
      </c>
      <c r="N209" s="12">
        <f>ROUND(I209*$S$6,0)</f>
        <v/>
      </c>
      <c r="O209" s="25">
        <f>IF(A209&gt;TODAY(),"—",IF(SUM(B209:J209)=0,"⬜ ยังไม่บันทึก",IF(AND(D209&gt;=$S$4,IFERROR(B209/D209,0)&lt;=$S$5),"✅ ผ่าน","⚠️ ต้องปรับ")))</f>
        <v/>
      </c>
      <c r="P209" s="26" t="n"/>
    </row>
    <row r="210">
      <c r="A210" s="23" t="n">
        <v>46466</v>
      </c>
      <c r="B210" s="24" t="n"/>
      <c r="C210" s="24" t="n"/>
      <c r="D210" s="24" t="n"/>
      <c r="E210" s="24" t="n"/>
      <c r="F210" s="24" t="n"/>
      <c r="G210" s="24" t="n"/>
      <c r="H210" s="24" t="n"/>
      <c r="I210" s="24" t="n"/>
      <c r="J210" s="24" t="n"/>
      <c r="K210" s="12">
        <f>I210-B210-J210</f>
        <v/>
      </c>
      <c r="L210" s="12">
        <f>IFERROR(B210/C210,"")</f>
        <v/>
      </c>
      <c r="M210" s="12">
        <f>IFERROR(B210/D210,"")</f>
        <v/>
      </c>
      <c r="N210" s="12">
        <f>ROUND(I210*$S$6,0)</f>
        <v/>
      </c>
      <c r="O210" s="25">
        <f>IF(A210&gt;TODAY(),"—",IF(SUM(B210:J210)=0,"⬜ ยังไม่บันทึก",IF(AND(D210&gt;=$S$4,IFERROR(B210/D210,0)&lt;=$S$5),"✅ ผ่าน","⚠️ ต้องปรับ")))</f>
        <v/>
      </c>
      <c r="P210" s="26" t="n"/>
    </row>
    <row r="211">
      <c r="A211" s="23" t="n">
        <v>46467</v>
      </c>
      <c r="B211" s="24" t="n"/>
      <c r="C211" s="24" t="n"/>
      <c r="D211" s="24" t="n"/>
      <c r="E211" s="24" t="n"/>
      <c r="F211" s="24" t="n"/>
      <c r="G211" s="24" t="n"/>
      <c r="H211" s="24" t="n"/>
      <c r="I211" s="24" t="n"/>
      <c r="J211" s="24" t="n"/>
      <c r="K211" s="12">
        <f>I211-B211-J211</f>
        <v/>
      </c>
      <c r="L211" s="12">
        <f>IFERROR(B211/C211,"")</f>
        <v/>
      </c>
      <c r="M211" s="12">
        <f>IFERROR(B211/D211,"")</f>
        <v/>
      </c>
      <c r="N211" s="12">
        <f>ROUND(I211*$S$6,0)</f>
        <v/>
      </c>
      <c r="O211" s="25">
        <f>IF(A211&gt;TODAY(),"—",IF(SUM(B211:J211)=0,"⬜ ยังไม่บันทึก",IF(AND(D211&gt;=$S$4,IFERROR(B211/D211,0)&lt;=$S$5),"✅ ผ่าน","⚠️ ต้องปรับ")))</f>
        <v/>
      </c>
      <c r="P211" s="26" t="n"/>
    </row>
    <row r="212">
      <c r="A212" s="23" t="n">
        <v>46468</v>
      </c>
      <c r="B212" s="24" t="n"/>
      <c r="C212" s="24" t="n"/>
      <c r="D212" s="24" t="n"/>
      <c r="E212" s="24" t="n"/>
      <c r="F212" s="24" t="n"/>
      <c r="G212" s="24" t="n"/>
      <c r="H212" s="24" t="n"/>
      <c r="I212" s="24" t="n"/>
      <c r="J212" s="24" t="n"/>
      <c r="K212" s="12">
        <f>I212-B212-J212</f>
        <v/>
      </c>
      <c r="L212" s="12">
        <f>IFERROR(B212/C212,"")</f>
        <v/>
      </c>
      <c r="M212" s="12">
        <f>IFERROR(B212/D212,"")</f>
        <v/>
      </c>
      <c r="N212" s="12">
        <f>ROUND(I212*$S$6,0)</f>
        <v/>
      </c>
      <c r="O212" s="25">
        <f>IF(A212&gt;TODAY(),"—",IF(SUM(B212:J212)=0,"⬜ ยังไม่บันทึก",IF(AND(D212&gt;=$S$4,IFERROR(B212/D212,0)&lt;=$S$5),"✅ ผ่าน","⚠️ ต้องปรับ")))</f>
        <v/>
      </c>
      <c r="P212" s="26" t="n"/>
    </row>
    <row r="213">
      <c r="A213" s="23" t="n">
        <v>46469</v>
      </c>
      <c r="B213" s="24" t="n"/>
      <c r="C213" s="24" t="n"/>
      <c r="D213" s="24" t="n"/>
      <c r="E213" s="24" t="n"/>
      <c r="F213" s="24" t="n"/>
      <c r="G213" s="24" t="n"/>
      <c r="H213" s="24" t="n"/>
      <c r="I213" s="24" t="n"/>
      <c r="J213" s="24" t="n"/>
      <c r="K213" s="12">
        <f>I213-B213-J213</f>
        <v/>
      </c>
      <c r="L213" s="12">
        <f>IFERROR(B213/C213,"")</f>
        <v/>
      </c>
      <c r="M213" s="12">
        <f>IFERROR(B213/D213,"")</f>
        <v/>
      </c>
      <c r="N213" s="12">
        <f>ROUND(I213*$S$6,0)</f>
        <v/>
      </c>
      <c r="O213" s="25">
        <f>IF(A213&gt;TODAY(),"—",IF(SUM(B213:J213)=0,"⬜ ยังไม่บันทึก",IF(AND(D213&gt;=$S$4,IFERROR(B213/D213,0)&lt;=$S$5),"✅ ผ่าน","⚠️ ต้องปรับ")))</f>
        <v/>
      </c>
      <c r="P213" s="26" t="n"/>
    </row>
    <row r="214">
      <c r="A214" s="23" t="n">
        <v>46470</v>
      </c>
      <c r="B214" s="24" t="n"/>
      <c r="C214" s="24" t="n"/>
      <c r="D214" s="24" t="n"/>
      <c r="E214" s="24" t="n"/>
      <c r="F214" s="24" t="n"/>
      <c r="G214" s="24" t="n"/>
      <c r="H214" s="24" t="n"/>
      <c r="I214" s="24" t="n"/>
      <c r="J214" s="24" t="n"/>
      <c r="K214" s="12">
        <f>I214-B214-J214</f>
        <v/>
      </c>
      <c r="L214" s="12">
        <f>IFERROR(B214/C214,"")</f>
        <v/>
      </c>
      <c r="M214" s="12">
        <f>IFERROR(B214/D214,"")</f>
        <v/>
      </c>
      <c r="N214" s="12">
        <f>ROUND(I214*$S$6,0)</f>
        <v/>
      </c>
      <c r="O214" s="25">
        <f>IF(A214&gt;TODAY(),"—",IF(SUM(B214:J214)=0,"⬜ ยังไม่บันทึก",IF(AND(D214&gt;=$S$4,IFERROR(B214/D214,0)&lt;=$S$5),"✅ ผ่าน","⚠️ ต้องปรับ")))</f>
        <v/>
      </c>
      <c r="P214" s="26" t="n"/>
    </row>
    <row r="215">
      <c r="A215" s="23" t="n">
        <v>46471</v>
      </c>
      <c r="B215" s="24" t="n"/>
      <c r="C215" s="24" t="n"/>
      <c r="D215" s="24" t="n"/>
      <c r="E215" s="24" t="n"/>
      <c r="F215" s="24" t="n"/>
      <c r="G215" s="24" t="n"/>
      <c r="H215" s="24" t="n"/>
      <c r="I215" s="24" t="n"/>
      <c r="J215" s="24" t="n"/>
      <c r="K215" s="12">
        <f>I215-B215-J215</f>
        <v/>
      </c>
      <c r="L215" s="12">
        <f>IFERROR(B215/C215,"")</f>
        <v/>
      </c>
      <c r="M215" s="12">
        <f>IFERROR(B215/D215,"")</f>
        <v/>
      </c>
      <c r="N215" s="12">
        <f>ROUND(I215*$S$6,0)</f>
        <v/>
      </c>
      <c r="O215" s="25">
        <f>IF(A215&gt;TODAY(),"—",IF(SUM(B215:J215)=0,"⬜ ยังไม่บันทึก",IF(AND(D215&gt;=$S$4,IFERROR(B215/D215,0)&lt;=$S$5),"✅ ผ่าน","⚠️ ต้องปรับ")))</f>
        <v/>
      </c>
      <c r="P215" s="26" t="n"/>
    </row>
    <row r="216">
      <c r="A216" s="23" t="n">
        <v>46472</v>
      </c>
      <c r="B216" s="24" t="n"/>
      <c r="C216" s="24" t="n"/>
      <c r="D216" s="24" t="n"/>
      <c r="E216" s="24" t="n"/>
      <c r="F216" s="24" t="n"/>
      <c r="G216" s="24" t="n"/>
      <c r="H216" s="24" t="n"/>
      <c r="I216" s="24" t="n"/>
      <c r="J216" s="24" t="n"/>
      <c r="K216" s="12">
        <f>I216-B216-J216</f>
        <v/>
      </c>
      <c r="L216" s="12">
        <f>IFERROR(B216/C216,"")</f>
        <v/>
      </c>
      <c r="M216" s="12">
        <f>IFERROR(B216/D216,"")</f>
        <v/>
      </c>
      <c r="N216" s="12">
        <f>ROUND(I216*$S$6,0)</f>
        <v/>
      </c>
      <c r="O216" s="25">
        <f>IF(A216&gt;TODAY(),"—",IF(SUM(B216:J216)=0,"⬜ ยังไม่บันทึก",IF(AND(D216&gt;=$S$4,IFERROR(B216/D216,0)&lt;=$S$5),"✅ ผ่าน","⚠️ ต้องปรับ")))</f>
        <v/>
      </c>
      <c r="P216" s="26" t="n"/>
    </row>
    <row r="217">
      <c r="A217" s="23" t="n">
        <v>46473</v>
      </c>
      <c r="B217" s="24" t="n"/>
      <c r="C217" s="24" t="n"/>
      <c r="D217" s="24" t="n"/>
      <c r="E217" s="24" t="n"/>
      <c r="F217" s="24" t="n"/>
      <c r="G217" s="24" t="n"/>
      <c r="H217" s="24" t="n"/>
      <c r="I217" s="24" t="n"/>
      <c r="J217" s="24" t="n"/>
      <c r="K217" s="12">
        <f>I217-B217-J217</f>
        <v/>
      </c>
      <c r="L217" s="12">
        <f>IFERROR(B217/C217,"")</f>
        <v/>
      </c>
      <c r="M217" s="12">
        <f>IFERROR(B217/D217,"")</f>
        <v/>
      </c>
      <c r="N217" s="12">
        <f>ROUND(I217*$S$6,0)</f>
        <v/>
      </c>
      <c r="O217" s="25">
        <f>IF(A217&gt;TODAY(),"—",IF(SUM(B217:J217)=0,"⬜ ยังไม่บันทึก",IF(AND(D217&gt;=$S$4,IFERROR(B217/D217,0)&lt;=$S$5),"✅ ผ่าน","⚠️ ต้องปรับ")))</f>
        <v/>
      </c>
      <c r="P217" s="26" t="n"/>
    </row>
    <row r="218">
      <c r="A218" s="23" t="n">
        <v>46474</v>
      </c>
      <c r="B218" s="24" t="n"/>
      <c r="C218" s="24" t="n"/>
      <c r="D218" s="24" t="n"/>
      <c r="E218" s="24" t="n"/>
      <c r="F218" s="24" t="n"/>
      <c r="G218" s="24" t="n"/>
      <c r="H218" s="24" t="n"/>
      <c r="I218" s="24" t="n"/>
      <c r="J218" s="24" t="n"/>
      <c r="K218" s="12">
        <f>I218-B218-J218</f>
        <v/>
      </c>
      <c r="L218" s="12">
        <f>IFERROR(B218/C218,"")</f>
        <v/>
      </c>
      <c r="M218" s="12">
        <f>IFERROR(B218/D218,"")</f>
        <v/>
      </c>
      <c r="N218" s="12">
        <f>ROUND(I218*$S$6,0)</f>
        <v/>
      </c>
      <c r="O218" s="25">
        <f>IF(A218&gt;TODAY(),"—",IF(SUM(B218:J218)=0,"⬜ ยังไม่บันทึก",IF(AND(D218&gt;=$S$4,IFERROR(B218/D218,0)&lt;=$S$5),"✅ ผ่าน","⚠️ ต้องปรับ")))</f>
        <v/>
      </c>
      <c r="P218" s="26" t="n"/>
    </row>
    <row r="219">
      <c r="A219" s="23" t="n">
        <v>46475</v>
      </c>
      <c r="B219" s="24" t="n"/>
      <c r="C219" s="24" t="n"/>
      <c r="D219" s="24" t="n"/>
      <c r="E219" s="24" t="n"/>
      <c r="F219" s="24" t="n"/>
      <c r="G219" s="24" t="n"/>
      <c r="H219" s="24" t="n"/>
      <c r="I219" s="24" t="n"/>
      <c r="J219" s="24" t="n"/>
      <c r="K219" s="12">
        <f>I219-B219-J219</f>
        <v/>
      </c>
      <c r="L219" s="12">
        <f>IFERROR(B219/C219,"")</f>
        <v/>
      </c>
      <c r="M219" s="12">
        <f>IFERROR(B219/D219,"")</f>
        <v/>
      </c>
      <c r="N219" s="12">
        <f>ROUND(I219*$S$6,0)</f>
        <v/>
      </c>
      <c r="O219" s="25">
        <f>IF(A219&gt;TODAY(),"—",IF(SUM(B219:J219)=0,"⬜ ยังไม่บันทึก",IF(AND(D219&gt;=$S$4,IFERROR(B219/D219,0)&lt;=$S$5),"✅ ผ่าน","⚠️ ต้องปรับ")))</f>
        <v/>
      </c>
      <c r="P219" s="26" t="n"/>
    </row>
    <row r="220">
      <c r="A220" s="23" t="n">
        <v>46476</v>
      </c>
      <c r="B220" s="24" t="n"/>
      <c r="C220" s="24" t="n"/>
      <c r="D220" s="24" t="n"/>
      <c r="E220" s="24" t="n"/>
      <c r="F220" s="24" t="n"/>
      <c r="G220" s="24" t="n"/>
      <c r="H220" s="24" t="n"/>
      <c r="I220" s="24" t="n"/>
      <c r="J220" s="24" t="n"/>
      <c r="K220" s="12">
        <f>I220-B220-J220</f>
        <v/>
      </c>
      <c r="L220" s="12">
        <f>IFERROR(B220/C220,"")</f>
        <v/>
      </c>
      <c r="M220" s="12">
        <f>IFERROR(B220/D220,"")</f>
        <v/>
      </c>
      <c r="N220" s="12">
        <f>ROUND(I220*$S$6,0)</f>
        <v/>
      </c>
      <c r="O220" s="25">
        <f>IF(A220&gt;TODAY(),"—",IF(SUM(B220:J220)=0,"⬜ ยังไม่บันทึก",IF(AND(D220&gt;=$S$4,IFERROR(B220/D220,0)&lt;=$S$5),"✅ ผ่าน","⚠️ ต้องปรับ")))</f>
        <v/>
      </c>
      <c r="P220" s="26" t="n"/>
    </row>
    <row r="221">
      <c r="A221" s="23" t="n">
        <v>46477</v>
      </c>
      <c r="B221" s="24" t="n"/>
      <c r="C221" s="24" t="n"/>
      <c r="D221" s="24" t="n"/>
      <c r="E221" s="24" t="n"/>
      <c r="F221" s="24" t="n"/>
      <c r="G221" s="24" t="n"/>
      <c r="H221" s="24" t="n"/>
      <c r="I221" s="24" t="n"/>
      <c r="J221" s="24" t="n"/>
      <c r="K221" s="12">
        <f>I221-B221-J221</f>
        <v/>
      </c>
      <c r="L221" s="12">
        <f>IFERROR(B221/C221,"")</f>
        <v/>
      </c>
      <c r="M221" s="12">
        <f>IFERROR(B221/D221,"")</f>
        <v/>
      </c>
      <c r="N221" s="12">
        <f>ROUND(I221*$S$6,0)</f>
        <v/>
      </c>
      <c r="O221" s="25">
        <f>IF(A221&gt;TODAY(),"—",IF(SUM(B221:J221)=0,"⬜ ยังไม่บันทึก",IF(AND(D221&gt;=$S$4,IFERROR(B221/D221,0)&lt;=$S$5),"✅ ผ่าน","⚠️ ต้องปรับ")))</f>
        <v/>
      </c>
      <c r="P221" s="26" t="n"/>
    </row>
    <row r="222">
      <c r="A222" s="31" t="n">
        <v>46478</v>
      </c>
      <c r="B222" s="24" t="n"/>
      <c r="C222" s="24" t="n"/>
      <c r="D222" s="24" t="n"/>
      <c r="E222" s="24" t="n"/>
      <c r="F222" s="24" t="n"/>
      <c r="G222" s="24" t="n"/>
      <c r="H222" s="24" t="n"/>
      <c r="I222" s="24" t="n"/>
      <c r="J222" s="24" t="n"/>
      <c r="K222" s="12">
        <f>I222-B222-J222</f>
        <v/>
      </c>
      <c r="L222" s="12">
        <f>IFERROR(B222/C222,"")</f>
        <v/>
      </c>
      <c r="M222" s="12">
        <f>IFERROR(B222/D222,"")</f>
        <v/>
      </c>
      <c r="N222" s="12">
        <f>ROUND(I222*$S$6,0)</f>
        <v/>
      </c>
      <c r="O222" s="25">
        <f>IF(A222&gt;TODAY(),"—",IF(SUM(B222:J222)=0,"⬜ ยังไม่บันทึก",IF(AND(D222&gt;=$S$4,IFERROR(B222/D222,0)&lt;=$S$5),"✅ ผ่าน","⚠️ ต้องปรับ")))</f>
        <v/>
      </c>
      <c r="P222" s="26" t="n"/>
    </row>
    <row r="223">
      <c r="A223" s="23" t="n">
        <v>46479</v>
      </c>
      <c r="B223" s="24" t="n"/>
      <c r="C223" s="24" t="n"/>
      <c r="D223" s="24" t="n"/>
      <c r="E223" s="24" t="n"/>
      <c r="F223" s="24" t="n"/>
      <c r="G223" s="24" t="n"/>
      <c r="H223" s="24" t="n"/>
      <c r="I223" s="24" t="n"/>
      <c r="J223" s="24" t="n"/>
      <c r="K223" s="12">
        <f>I223-B223-J223</f>
        <v/>
      </c>
      <c r="L223" s="12">
        <f>IFERROR(B223/C223,"")</f>
        <v/>
      </c>
      <c r="M223" s="12">
        <f>IFERROR(B223/D223,"")</f>
        <v/>
      </c>
      <c r="N223" s="12">
        <f>ROUND(I223*$S$6,0)</f>
        <v/>
      </c>
      <c r="O223" s="25">
        <f>IF(A223&gt;TODAY(),"—",IF(SUM(B223:J223)=0,"⬜ ยังไม่บันทึก",IF(AND(D223&gt;=$S$4,IFERROR(B223/D223,0)&lt;=$S$5),"✅ ผ่าน","⚠️ ต้องปรับ")))</f>
        <v/>
      </c>
      <c r="P223" s="26" t="n"/>
    </row>
    <row r="224">
      <c r="A224" s="23" t="n">
        <v>46480</v>
      </c>
      <c r="B224" s="24" t="n"/>
      <c r="C224" s="24" t="n"/>
      <c r="D224" s="24" t="n"/>
      <c r="E224" s="24" t="n"/>
      <c r="F224" s="24" t="n"/>
      <c r="G224" s="24" t="n"/>
      <c r="H224" s="24" t="n"/>
      <c r="I224" s="24" t="n"/>
      <c r="J224" s="24" t="n"/>
      <c r="K224" s="12">
        <f>I224-B224-J224</f>
        <v/>
      </c>
      <c r="L224" s="12">
        <f>IFERROR(B224/C224,"")</f>
        <v/>
      </c>
      <c r="M224" s="12">
        <f>IFERROR(B224/D224,"")</f>
        <v/>
      </c>
      <c r="N224" s="12">
        <f>ROUND(I224*$S$6,0)</f>
        <v/>
      </c>
      <c r="O224" s="25">
        <f>IF(A224&gt;TODAY(),"—",IF(SUM(B224:J224)=0,"⬜ ยังไม่บันทึก",IF(AND(D224&gt;=$S$4,IFERROR(B224/D224,0)&lt;=$S$5),"✅ ผ่าน","⚠️ ต้องปรับ")))</f>
        <v/>
      </c>
      <c r="P224" s="26" t="n"/>
    </row>
    <row r="225">
      <c r="A225" s="23" t="n">
        <v>46481</v>
      </c>
      <c r="B225" s="24" t="n"/>
      <c r="C225" s="24" t="n"/>
      <c r="D225" s="24" t="n"/>
      <c r="E225" s="24" t="n"/>
      <c r="F225" s="24" t="n"/>
      <c r="G225" s="24" t="n"/>
      <c r="H225" s="24" t="n"/>
      <c r="I225" s="24" t="n"/>
      <c r="J225" s="24" t="n"/>
      <c r="K225" s="12">
        <f>I225-B225-J225</f>
        <v/>
      </c>
      <c r="L225" s="12">
        <f>IFERROR(B225/C225,"")</f>
        <v/>
      </c>
      <c r="M225" s="12">
        <f>IFERROR(B225/D225,"")</f>
        <v/>
      </c>
      <c r="N225" s="12">
        <f>ROUND(I225*$S$6,0)</f>
        <v/>
      </c>
      <c r="O225" s="25">
        <f>IF(A225&gt;TODAY(),"—",IF(SUM(B225:J225)=0,"⬜ ยังไม่บันทึก",IF(AND(D225&gt;=$S$4,IFERROR(B225/D225,0)&lt;=$S$5),"✅ ผ่าน","⚠️ ต้องปรับ")))</f>
        <v/>
      </c>
      <c r="P225" s="26" t="n"/>
    </row>
    <row r="226">
      <c r="A226" s="23" t="n">
        <v>46482</v>
      </c>
      <c r="B226" s="24" t="n"/>
      <c r="C226" s="24" t="n"/>
      <c r="D226" s="24" t="n"/>
      <c r="E226" s="24" t="n"/>
      <c r="F226" s="24" t="n"/>
      <c r="G226" s="24" t="n"/>
      <c r="H226" s="24" t="n"/>
      <c r="I226" s="24" t="n"/>
      <c r="J226" s="24" t="n"/>
      <c r="K226" s="12">
        <f>I226-B226-J226</f>
        <v/>
      </c>
      <c r="L226" s="12">
        <f>IFERROR(B226/C226,"")</f>
        <v/>
      </c>
      <c r="M226" s="12">
        <f>IFERROR(B226/D226,"")</f>
        <v/>
      </c>
      <c r="N226" s="12">
        <f>ROUND(I226*$S$6,0)</f>
        <v/>
      </c>
      <c r="O226" s="25">
        <f>IF(A226&gt;TODAY(),"—",IF(SUM(B226:J226)=0,"⬜ ยังไม่บันทึก",IF(AND(D226&gt;=$S$4,IFERROR(B226/D226,0)&lt;=$S$5),"✅ ผ่าน","⚠️ ต้องปรับ")))</f>
        <v/>
      </c>
      <c r="P226" s="26" t="n"/>
    </row>
    <row r="227">
      <c r="A227" s="23" t="n">
        <v>46483</v>
      </c>
      <c r="B227" s="24" t="n"/>
      <c r="C227" s="24" t="n"/>
      <c r="D227" s="24" t="n"/>
      <c r="E227" s="24" t="n"/>
      <c r="F227" s="24" t="n"/>
      <c r="G227" s="24" t="n"/>
      <c r="H227" s="24" t="n"/>
      <c r="I227" s="24" t="n"/>
      <c r="J227" s="24" t="n"/>
      <c r="K227" s="12">
        <f>I227-B227-J227</f>
        <v/>
      </c>
      <c r="L227" s="12">
        <f>IFERROR(B227/C227,"")</f>
        <v/>
      </c>
      <c r="M227" s="12">
        <f>IFERROR(B227/D227,"")</f>
        <v/>
      </c>
      <c r="N227" s="12">
        <f>ROUND(I227*$S$6,0)</f>
        <v/>
      </c>
      <c r="O227" s="25">
        <f>IF(A227&gt;TODAY(),"—",IF(SUM(B227:J227)=0,"⬜ ยังไม่บันทึก",IF(AND(D227&gt;=$S$4,IFERROR(B227/D227,0)&lt;=$S$5),"✅ ผ่าน","⚠️ ต้องปรับ")))</f>
        <v/>
      </c>
      <c r="P227" s="26" t="n"/>
    </row>
    <row r="228">
      <c r="A228" s="23" t="n">
        <v>46484</v>
      </c>
      <c r="B228" s="24" t="n"/>
      <c r="C228" s="24" t="n"/>
      <c r="D228" s="24" t="n"/>
      <c r="E228" s="24" t="n"/>
      <c r="F228" s="24" t="n"/>
      <c r="G228" s="24" t="n"/>
      <c r="H228" s="24" t="n"/>
      <c r="I228" s="24" t="n"/>
      <c r="J228" s="24" t="n"/>
      <c r="K228" s="12">
        <f>I228-B228-J228</f>
        <v/>
      </c>
      <c r="L228" s="12">
        <f>IFERROR(B228/C228,"")</f>
        <v/>
      </c>
      <c r="M228" s="12">
        <f>IFERROR(B228/D228,"")</f>
        <v/>
      </c>
      <c r="N228" s="12">
        <f>ROUND(I228*$S$6,0)</f>
        <v/>
      </c>
      <c r="O228" s="25">
        <f>IF(A228&gt;TODAY(),"—",IF(SUM(B228:J228)=0,"⬜ ยังไม่บันทึก",IF(AND(D228&gt;=$S$4,IFERROR(B228/D228,0)&lt;=$S$5),"✅ ผ่าน","⚠️ ต้องปรับ")))</f>
        <v/>
      </c>
      <c r="P228" s="26" t="n"/>
    </row>
    <row r="229">
      <c r="A229" s="23" t="n">
        <v>46485</v>
      </c>
      <c r="B229" s="24" t="n"/>
      <c r="C229" s="24" t="n"/>
      <c r="D229" s="24" t="n"/>
      <c r="E229" s="24" t="n"/>
      <c r="F229" s="24" t="n"/>
      <c r="G229" s="24" t="n"/>
      <c r="H229" s="24" t="n"/>
      <c r="I229" s="24" t="n"/>
      <c r="J229" s="24" t="n"/>
      <c r="K229" s="12">
        <f>I229-B229-J229</f>
        <v/>
      </c>
      <c r="L229" s="12">
        <f>IFERROR(B229/C229,"")</f>
        <v/>
      </c>
      <c r="M229" s="12">
        <f>IFERROR(B229/D229,"")</f>
        <v/>
      </c>
      <c r="N229" s="12">
        <f>ROUND(I229*$S$6,0)</f>
        <v/>
      </c>
      <c r="O229" s="25">
        <f>IF(A229&gt;TODAY(),"—",IF(SUM(B229:J229)=0,"⬜ ยังไม่บันทึก",IF(AND(D229&gt;=$S$4,IFERROR(B229/D229,0)&lt;=$S$5),"✅ ผ่าน","⚠️ ต้องปรับ")))</f>
        <v/>
      </c>
      <c r="P229" s="26" t="n"/>
    </row>
    <row r="230">
      <c r="A230" s="23" t="n">
        <v>46486</v>
      </c>
      <c r="B230" s="24" t="n"/>
      <c r="C230" s="24" t="n"/>
      <c r="D230" s="24" t="n"/>
      <c r="E230" s="24" t="n"/>
      <c r="F230" s="24" t="n"/>
      <c r="G230" s="24" t="n"/>
      <c r="H230" s="24" t="n"/>
      <c r="I230" s="24" t="n"/>
      <c r="J230" s="24" t="n"/>
      <c r="K230" s="12">
        <f>I230-B230-J230</f>
        <v/>
      </c>
      <c r="L230" s="12">
        <f>IFERROR(B230/C230,"")</f>
        <v/>
      </c>
      <c r="M230" s="12">
        <f>IFERROR(B230/D230,"")</f>
        <v/>
      </c>
      <c r="N230" s="12">
        <f>ROUND(I230*$S$6,0)</f>
        <v/>
      </c>
      <c r="O230" s="25">
        <f>IF(A230&gt;TODAY(),"—",IF(SUM(B230:J230)=0,"⬜ ยังไม่บันทึก",IF(AND(D230&gt;=$S$4,IFERROR(B230/D230,0)&lt;=$S$5),"✅ ผ่าน","⚠️ ต้องปรับ")))</f>
        <v/>
      </c>
      <c r="P230" s="26" t="n"/>
    </row>
    <row r="231">
      <c r="A231" s="23" t="n">
        <v>46487</v>
      </c>
      <c r="B231" s="24" t="n"/>
      <c r="C231" s="24" t="n"/>
      <c r="D231" s="24" t="n"/>
      <c r="E231" s="24" t="n"/>
      <c r="F231" s="24" t="n"/>
      <c r="G231" s="24" t="n"/>
      <c r="H231" s="24" t="n"/>
      <c r="I231" s="24" t="n"/>
      <c r="J231" s="24" t="n"/>
      <c r="K231" s="12">
        <f>I231-B231-J231</f>
        <v/>
      </c>
      <c r="L231" s="12">
        <f>IFERROR(B231/C231,"")</f>
        <v/>
      </c>
      <c r="M231" s="12">
        <f>IFERROR(B231/D231,"")</f>
        <v/>
      </c>
      <c r="N231" s="12">
        <f>ROUND(I231*$S$6,0)</f>
        <v/>
      </c>
      <c r="O231" s="25">
        <f>IF(A231&gt;TODAY(),"—",IF(SUM(B231:J231)=0,"⬜ ยังไม่บันทึก",IF(AND(D231&gt;=$S$4,IFERROR(B231/D231,0)&lt;=$S$5),"✅ ผ่าน","⚠️ ต้องปรับ")))</f>
        <v/>
      </c>
      <c r="P231" s="26" t="n"/>
    </row>
    <row r="232">
      <c r="A232" s="23" t="n">
        <v>46488</v>
      </c>
      <c r="B232" s="24" t="n"/>
      <c r="C232" s="24" t="n"/>
      <c r="D232" s="24" t="n"/>
      <c r="E232" s="24" t="n"/>
      <c r="F232" s="24" t="n"/>
      <c r="G232" s="24" t="n"/>
      <c r="H232" s="24" t="n"/>
      <c r="I232" s="24" t="n"/>
      <c r="J232" s="24" t="n"/>
      <c r="K232" s="12">
        <f>I232-B232-J232</f>
        <v/>
      </c>
      <c r="L232" s="12">
        <f>IFERROR(B232/C232,"")</f>
        <v/>
      </c>
      <c r="M232" s="12">
        <f>IFERROR(B232/D232,"")</f>
        <v/>
      </c>
      <c r="N232" s="12">
        <f>ROUND(I232*$S$6,0)</f>
        <v/>
      </c>
      <c r="O232" s="25">
        <f>IF(A232&gt;TODAY(),"—",IF(SUM(B232:J232)=0,"⬜ ยังไม่บันทึก",IF(AND(D232&gt;=$S$4,IFERROR(B232/D232,0)&lt;=$S$5),"✅ ผ่าน","⚠️ ต้องปรับ")))</f>
        <v/>
      </c>
      <c r="P232" s="26" t="n"/>
    </row>
    <row r="233">
      <c r="A233" s="23" t="n">
        <v>46489</v>
      </c>
      <c r="B233" s="24" t="n"/>
      <c r="C233" s="24" t="n"/>
      <c r="D233" s="24" t="n"/>
      <c r="E233" s="24" t="n"/>
      <c r="F233" s="24" t="n"/>
      <c r="G233" s="24" t="n"/>
      <c r="H233" s="24" t="n"/>
      <c r="I233" s="24" t="n"/>
      <c r="J233" s="24" t="n"/>
      <c r="K233" s="12">
        <f>I233-B233-J233</f>
        <v/>
      </c>
      <c r="L233" s="12">
        <f>IFERROR(B233/C233,"")</f>
        <v/>
      </c>
      <c r="M233" s="12">
        <f>IFERROR(B233/D233,"")</f>
        <v/>
      </c>
      <c r="N233" s="12">
        <f>ROUND(I233*$S$6,0)</f>
        <v/>
      </c>
      <c r="O233" s="25">
        <f>IF(A233&gt;TODAY(),"—",IF(SUM(B233:J233)=0,"⬜ ยังไม่บันทึก",IF(AND(D233&gt;=$S$4,IFERROR(B233/D233,0)&lt;=$S$5),"✅ ผ่าน","⚠️ ต้องปรับ")))</f>
        <v/>
      </c>
      <c r="P233" s="26" t="n"/>
    </row>
    <row r="234">
      <c r="A234" s="23" t="n">
        <v>46490</v>
      </c>
      <c r="B234" s="24" t="n"/>
      <c r="C234" s="24" t="n"/>
      <c r="D234" s="24" t="n"/>
      <c r="E234" s="24" t="n"/>
      <c r="F234" s="24" t="n"/>
      <c r="G234" s="24" t="n"/>
      <c r="H234" s="24" t="n"/>
      <c r="I234" s="24" t="n"/>
      <c r="J234" s="24" t="n"/>
      <c r="K234" s="12">
        <f>I234-B234-J234</f>
        <v/>
      </c>
      <c r="L234" s="12">
        <f>IFERROR(B234/C234,"")</f>
        <v/>
      </c>
      <c r="M234" s="12">
        <f>IFERROR(B234/D234,"")</f>
        <v/>
      </c>
      <c r="N234" s="12">
        <f>ROUND(I234*$S$6,0)</f>
        <v/>
      </c>
      <c r="O234" s="25">
        <f>IF(A234&gt;TODAY(),"—",IF(SUM(B234:J234)=0,"⬜ ยังไม่บันทึก",IF(AND(D234&gt;=$S$4,IFERROR(B234/D234,0)&lt;=$S$5),"✅ ผ่าน","⚠️ ต้องปรับ")))</f>
        <v/>
      </c>
      <c r="P234" s="26" t="n"/>
    </row>
    <row r="235">
      <c r="A235" s="23" t="n">
        <v>46491</v>
      </c>
      <c r="B235" s="24" t="n"/>
      <c r="C235" s="24" t="n"/>
      <c r="D235" s="24" t="n"/>
      <c r="E235" s="24" t="n"/>
      <c r="F235" s="24" t="n"/>
      <c r="G235" s="24" t="n"/>
      <c r="H235" s="24" t="n"/>
      <c r="I235" s="24" t="n"/>
      <c r="J235" s="24" t="n"/>
      <c r="K235" s="12">
        <f>I235-B235-J235</f>
        <v/>
      </c>
      <c r="L235" s="12">
        <f>IFERROR(B235/C235,"")</f>
        <v/>
      </c>
      <c r="M235" s="12">
        <f>IFERROR(B235/D235,"")</f>
        <v/>
      </c>
      <c r="N235" s="12">
        <f>ROUND(I235*$S$6,0)</f>
        <v/>
      </c>
      <c r="O235" s="25">
        <f>IF(A235&gt;TODAY(),"—",IF(SUM(B235:J235)=0,"⬜ ยังไม่บันทึก",IF(AND(D235&gt;=$S$4,IFERROR(B235/D235,0)&lt;=$S$5),"✅ ผ่าน","⚠️ ต้องปรับ")))</f>
        <v/>
      </c>
      <c r="P235" s="26" t="n"/>
    </row>
    <row r="236">
      <c r="A236" s="23" t="n">
        <v>46492</v>
      </c>
      <c r="B236" s="24" t="n"/>
      <c r="C236" s="24" t="n"/>
      <c r="D236" s="24" t="n"/>
      <c r="E236" s="24" t="n"/>
      <c r="F236" s="24" t="n"/>
      <c r="G236" s="24" t="n"/>
      <c r="H236" s="24" t="n"/>
      <c r="I236" s="24" t="n"/>
      <c r="J236" s="24" t="n"/>
      <c r="K236" s="12">
        <f>I236-B236-J236</f>
        <v/>
      </c>
      <c r="L236" s="12">
        <f>IFERROR(B236/C236,"")</f>
        <v/>
      </c>
      <c r="M236" s="12">
        <f>IFERROR(B236/D236,"")</f>
        <v/>
      </c>
      <c r="N236" s="12">
        <f>ROUND(I236*$S$6,0)</f>
        <v/>
      </c>
      <c r="O236" s="25">
        <f>IF(A236&gt;TODAY(),"—",IF(SUM(B236:J236)=0,"⬜ ยังไม่บันทึก",IF(AND(D236&gt;=$S$4,IFERROR(B236/D236,0)&lt;=$S$5),"✅ ผ่าน","⚠️ ต้องปรับ")))</f>
        <v/>
      </c>
      <c r="P236" s="26" t="n"/>
    </row>
    <row r="237">
      <c r="A237" s="23" t="n">
        <v>46493</v>
      </c>
      <c r="B237" s="24" t="n"/>
      <c r="C237" s="24" t="n"/>
      <c r="D237" s="24" t="n"/>
      <c r="E237" s="24" t="n"/>
      <c r="F237" s="24" t="n"/>
      <c r="G237" s="24" t="n"/>
      <c r="H237" s="24" t="n"/>
      <c r="I237" s="24" t="n"/>
      <c r="J237" s="24" t="n"/>
      <c r="K237" s="12">
        <f>I237-B237-J237</f>
        <v/>
      </c>
      <c r="L237" s="12">
        <f>IFERROR(B237/C237,"")</f>
        <v/>
      </c>
      <c r="M237" s="12">
        <f>IFERROR(B237/D237,"")</f>
        <v/>
      </c>
      <c r="N237" s="12">
        <f>ROUND(I237*$S$6,0)</f>
        <v/>
      </c>
      <c r="O237" s="25">
        <f>IF(A237&gt;TODAY(),"—",IF(SUM(B237:J237)=0,"⬜ ยังไม่บันทึก",IF(AND(D237&gt;=$S$4,IFERROR(B237/D237,0)&lt;=$S$5),"✅ ผ่าน","⚠️ ต้องปรับ")))</f>
        <v/>
      </c>
      <c r="P237" s="26" t="n"/>
    </row>
    <row r="238">
      <c r="A238" s="23" t="n">
        <v>46494</v>
      </c>
      <c r="B238" s="24" t="n"/>
      <c r="C238" s="24" t="n"/>
      <c r="D238" s="24" t="n"/>
      <c r="E238" s="24" t="n"/>
      <c r="F238" s="24" t="n"/>
      <c r="G238" s="24" t="n"/>
      <c r="H238" s="24" t="n"/>
      <c r="I238" s="24" t="n"/>
      <c r="J238" s="24" t="n"/>
      <c r="K238" s="12">
        <f>I238-B238-J238</f>
        <v/>
      </c>
      <c r="L238" s="12">
        <f>IFERROR(B238/C238,"")</f>
        <v/>
      </c>
      <c r="M238" s="12">
        <f>IFERROR(B238/D238,"")</f>
        <v/>
      </c>
      <c r="N238" s="12">
        <f>ROUND(I238*$S$6,0)</f>
        <v/>
      </c>
      <c r="O238" s="25">
        <f>IF(A238&gt;TODAY(),"—",IF(SUM(B238:J238)=0,"⬜ ยังไม่บันทึก",IF(AND(D238&gt;=$S$4,IFERROR(B238/D238,0)&lt;=$S$5),"✅ ผ่าน","⚠️ ต้องปรับ")))</f>
        <v/>
      </c>
      <c r="P238" s="26" t="n"/>
    </row>
    <row r="239">
      <c r="A239" s="23" t="n">
        <v>46495</v>
      </c>
      <c r="B239" s="24" t="n"/>
      <c r="C239" s="24" t="n"/>
      <c r="D239" s="24" t="n"/>
      <c r="E239" s="24" t="n"/>
      <c r="F239" s="24" t="n"/>
      <c r="G239" s="24" t="n"/>
      <c r="H239" s="24" t="n"/>
      <c r="I239" s="24" t="n"/>
      <c r="J239" s="24" t="n"/>
      <c r="K239" s="12">
        <f>I239-B239-J239</f>
        <v/>
      </c>
      <c r="L239" s="12">
        <f>IFERROR(B239/C239,"")</f>
        <v/>
      </c>
      <c r="M239" s="12">
        <f>IFERROR(B239/D239,"")</f>
        <v/>
      </c>
      <c r="N239" s="12">
        <f>ROUND(I239*$S$6,0)</f>
        <v/>
      </c>
      <c r="O239" s="25">
        <f>IF(A239&gt;TODAY(),"—",IF(SUM(B239:J239)=0,"⬜ ยังไม่บันทึก",IF(AND(D239&gt;=$S$4,IFERROR(B239/D239,0)&lt;=$S$5),"✅ ผ่าน","⚠️ ต้องปรับ")))</f>
        <v/>
      </c>
      <c r="P239" s="26" t="n"/>
    </row>
    <row r="240">
      <c r="A240" s="23" t="n">
        <v>46496</v>
      </c>
      <c r="B240" s="24" t="n"/>
      <c r="C240" s="24" t="n"/>
      <c r="D240" s="24" t="n"/>
      <c r="E240" s="24" t="n"/>
      <c r="F240" s="24" t="n"/>
      <c r="G240" s="24" t="n"/>
      <c r="H240" s="24" t="n"/>
      <c r="I240" s="24" t="n"/>
      <c r="J240" s="24" t="n"/>
      <c r="K240" s="12">
        <f>I240-B240-J240</f>
        <v/>
      </c>
      <c r="L240" s="12">
        <f>IFERROR(B240/C240,"")</f>
        <v/>
      </c>
      <c r="M240" s="12">
        <f>IFERROR(B240/D240,"")</f>
        <v/>
      </c>
      <c r="N240" s="12">
        <f>ROUND(I240*$S$6,0)</f>
        <v/>
      </c>
      <c r="O240" s="25">
        <f>IF(A240&gt;TODAY(),"—",IF(SUM(B240:J240)=0,"⬜ ยังไม่บันทึก",IF(AND(D240&gt;=$S$4,IFERROR(B240/D240,0)&lt;=$S$5),"✅ ผ่าน","⚠️ ต้องปรับ")))</f>
        <v/>
      </c>
      <c r="P240" s="26" t="n"/>
    </row>
    <row r="241">
      <c r="A241" s="23" t="n">
        <v>46497</v>
      </c>
      <c r="B241" s="24" t="n"/>
      <c r="C241" s="24" t="n"/>
      <c r="D241" s="24" t="n"/>
      <c r="E241" s="24" t="n"/>
      <c r="F241" s="24" t="n"/>
      <c r="G241" s="24" t="n"/>
      <c r="H241" s="24" t="n"/>
      <c r="I241" s="24" t="n"/>
      <c r="J241" s="24" t="n"/>
      <c r="K241" s="12">
        <f>I241-B241-J241</f>
        <v/>
      </c>
      <c r="L241" s="12">
        <f>IFERROR(B241/C241,"")</f>
        <v/>
      </c>
      <c r="M241" s="12">
        <f>IFERROR(B241/D241,"")</f>
        <v/>
      </c>
      <c r="N241" s="12">
        <f>ROUND(I241*$S$6,0)</f>
        <v/>
      </c>
      <c r="O241" s="25">
        <f>IF(A241&gt;TODAY(),"—",IF(SUM(B241:J241)=0,"⬜ ยังไม่บันทึก",IF(AND(D241&gt;=$S$4,IFERROR(B241/D241,0)&lt;=$S$5),"✅ ผ่าน","⚠️ ต้องปรับ")))</f>
        <v/>
      </c>
      <c r="P241" s="26" t="n"/>
    </row>
    <row r="242">
      <c r="A242" s="23" t="n">
        <v>46498</v>
      </c>
      <c r="B242" s="24" t="n"/>
      <c r="C242" s="24" t="n"/>
      <c r="D242" s="24" t="n"/>
      <c r="E242" s="24" t="n"/>
      <c r="F242" s="24" t="n"/>
      <c r="G242" s="24" t="n"/>
      <c r="H242" s="24" t="n"/>
      <c r="I242" s="24" t="n"/>
      <c r="J242" s="24" t="n"/>
      <c r="K242" s="12">
        <f>I242-B242-J242</f>
        <v/>
      </c>
      <c r="L242" s="12">
        <f>IFERROR(B242/C242,"")</f>
        <v/>
      </c>
      <c r="M242" s="12">
        <f>IFERROR(B242/D242,"")</f>
        <v/>
      </c>
      <c r="N242" s="12">
        <f>ROUND(I242*$S$6,0)</f>
        <v/>
      </c>
      <c r="O242" s="25">
        <f>IF(A242&gt;TODAY(),"—",IF(SUM(B242:J242)=0,"⬜ ยังไม่บันทึก",IF(AND(D242&gt;=$S$4,IFERROR(B242/D242,0)&lt;=$S$5),"✅ ผ่าน","⚠️ ต้องปรับ")))</f>
        <v/>
      </c>
      <c r="P242" s="26" t="n"/>
    </row>
    <row r="243">
      <c r="A243" s="23" t="n">
        <v>46499</v>
      </c>
      <c r="B243" s="24" t="n"/>
      <c r="C243" s="24" t="n"/>
      <c r="D243" s="24" t="n"/>
      <c r="E243" s="24" t="n"/>
      <c r="F243" s="24" t="n"/>
      <c r="G243" s="24" t="n"/>
      <c r="H243" s="24" t="n"/>
      <c r="I243" s="24" t="n"/>
      <c r="J243" s="24" t="n"/>
      <c r="K243" s="12">
        <f>I243-B243-J243</f>
        <v/>
      </c>
      <c r="L243" s="12">
        <f>IFERROR(B243/C243,"")</f>
        <v/>
      </c>
      <c r="M243" s="12">
        <f>IFERROR(B243/D243,"")</f>
        <v/>
      </c>
      <c r="N243" s="12">
        <f>ROUND(I243*$S$6,0)</f>
        <v/>
      </c>
      <c r="O243" s="25">
        <f>IF(A243&gt;TODAY(),"—",IF(SUM(B243:J243)=0,"⬜ ยังไม่บันทึก",IF(AND(D243&gt;=$S$4,IFERROR(B243/D243,0)&lt;=$S$5),"✅ ผ่าน","⚠️ ต้องปรับ")))</f>
        <v/>
      </c>
      <c r="P243" s="26" t="n"/>
    </row>
    <row r="244">
      <c r="A244" s="23" t="n">
        <v>46500</v>
      </c>
      <c r="B244" s="24" t="n"/>
      <c r="C244" s="24" t="n"/>
      <c r="D244" s="24" t="n"/>
      <c r="E244" s="24" t="n"/>
      <c r="F244" s="24" t="n"/>
      <c r="G244" s="24" t="n"/>
      <c r="H244" s="24" t="n"/>
      <c r="I244" s="24" t="n"/>
      <c r="J244" s="24" t="n"/>
      <c r="K244" s="12">
        <f>I244-B244-J244</f>
        <v/>
      </c>
      <c r="L244" s="12">
        <f>IFERROR(B244/C244,"")</f>
        <v/>
      </c>
      <c r="M244" s="12">
        <f>IFERROR(B244/D244,"")</f>
        <v/>
      </c>
      <c r="N244" s="12">
        <f>ROUND(I244*$S$6,0)</f>
        <v/>
      </c>
      <c r="O244" s="25">
        <f>IF(A244&gt;TODAY(),"—",IF(SUM(B244:J244)=0,"⬜ ยังไม่บันทึก",IF(AND(D244&gt;=$S$4,IFERROR(B244/D244,0)&lt;=$S$5),"✅ ผ่าน","⚠️ ต้องปรับ")))</f>
        <v/>
      </c>
      <c r="P244" s="26" t="n"/>
    </row>
    <row r="245">
      <c r="A245" s="23" t="n">
        <v>46501</v>
      </c>
      <c r="B245" s="24" t="n"/>
      <c r="C245" s="24" t="n"/>
      <c r="D245" s="24" t="n"/>
      <c r="E245" s="24" t="n"/>
      <c r="F245" s="24" t="n"/>
      <c r="G245" s="24" t="n"/>
      <c r="H245" s="24" t="n"/>
      <c r="I245" s="24" t="n"/>
      <c r="J245" s="24" t="n"/>
      <c r="K245" s="12">
        <f>I245-B245-J245</f>
        <v/>
      </c>
      <c r="L245" s="12">
        <f>IFERROR(B245/C245,"")</f>
        <v/>
      </c>
      <c r="M245" s="12">
        <f>IFERROR(B245/D245,"")</f>
        <v/>
      </c>
      <c r="N245" s="12">
        <f>ROUND(I245*$S$6,0)</f>
        <v/>
      </c>
      <c r="O245" s="25">
        <f>IF(A245&gt;TODAY(),"—",IF(SUM(B245:J245)=0,"⬜ ยังไม่บันทึก",IF(AND(D245&gt;=$S$4,IFERROR(B245/D245,0)&lt;=$S$5),"✅ ผ่าน","⚠️ ต้องปรับ")))</f>
        <v/>
      </c>
      <c r="P245" s="26" t="n"/>
    </row>
    <row r="246">
      <c r="A246" s="23" t="n">
        <v>46502</v>
      </c>
      <c r="B246" s="24" t="n"/>
      <c r="C246" s="24" t="n"/>
      <c r="D246" s="24" t="n"/>
      <c r="E246" s="24" t="n"/>
      <c r="F246" s="24" t="n"/>
      <c r="G246" s="24" t="n"/>
      <c r="H246" s="24" t="n"/>
      <c r="I246" s="24" t="n"/>
      <c r="J246" s="24" t="n"/>
      <c r="K246" s="12">
        <f>I246-B246-J246</f>
        <v/>
      </c>
      <c r="L246" s="12">
        <f>IFERROR(B246/C246,"")</f>
        <v/>
      </c>
      <c r="M246" s="12">
        <f>IFERROR(B246/D246,"")</f>
        <v/>
      </c>
      <c r="N246" s="12">
        <f>ROUND(I246*$S$6,0)</f>
        <v/>
      </c>
      <c r="O246" s="25">
        <f>IF(A246&gt;TODAY(),"—",IF(SUM(B246:J246)=0,"⬜ ยังไม่บันทึก",IF(AND(D246&gt;=$S$4,IFERROR(B246/D246,0)&lt;=$S$5),"✅ ผ่าน","⚠️ ต้องปรับ")))</f>
        <v/>
      </c>
      <c r="P246" s="26" t="n"/>
    </row>
    <row r="247">
      <c r="A247" s="23" t="n">
        <v>46503</v>
      </c>
      <c r="B247" s="24" t="n"/>
      <c r="C247" s="24" t="n"/>
      <c r="D247" s="24" t="n"/>
      <c r="E247" s="24" t="n"/>
      <c r="F247" s="24" t="n"/>
      <c r="G247" s="24" t="n"/>
      <c r="H247" s="24" t="n"/>
      <c r="I247" s="24" t="n"/>
      <c r="J247" s="24" t="n"/>
      <c r="K247" s="12">
        <f>I247-B247-J247</f>
        <v/>
      </c>
      <c r="L247" s="12">
        <f>IFERROR(B247/C247,"")</f>
        <v/>
      </c>
      <c r="M247" s="12">
        <f>IFERROR(B247/D247,"")</f>
        <v/>
      </c>
      <c r="N247" s="12">
        <f>ROUND(I247*$S$6,0)</f>
        <v/>
      </c>
      <c r="O247" s="25">
        <f>IF(A247&gt;TODAY(),"—",IF(SUM(B247:J247)=0,"⬜ ยังไม่บันทึก",IF(AND(D247&gt;=$S$4,IFERROR(B247/D247,0)&lt;=$S$5),"✅ ผ่าน","⚠️ ต้องปรับ")))</f>
        <v/>
      </c>
      <c r="P247" s="26" t="n"/>
    </row>
    <row r="248">
      <c r="A248" s="23" t="n">
        <v>46504</v>
      </c>
      <c r="B248" s="24" t="n"/>
      <c r="C248" s="24" t="n"/>
      <c r="D248" s="24" t="n"/>
      <c r="E248" s="24" t="n"/>
      <c r="F248" s="24" t="n"/>
      <c r="G248" s="24" t="n"/>
      <c r="H248" s="24" t="n"/>
      <c r="I248" s="24" t="n"/>
      <c r="J248" s="24" t="n"/>
      <c r="K248" s="12">
        <f>I248-B248-J248</f>
        <v/>
      </c>
      <c r="L248" s="12">
        <f>IFERROR(B248/C248,"")</f>
        <v/>
      </c>
      <c r="M248" s="12">
        <f>IFERROR(B248/D248,"")</f>
        <v/>
      </c>
      <c r="N248" s="12">
        <f>ROUND(I248*$S$6,0)</f>
        <v/>
      </c>
      <c r="O248" s="25">
        <f>IF(A248&gt;TODAY(),"—",IF(SUM(B248:J248)=0,"⬜ ยังไม่บันทึก",IF(AND(D248&gt;=$S$4,IFERROR(B248/D248,0)&lt;=$S$5),"✅ ผ่าน","⚠️ ต้องปรับ")))</f>
        <v/>
      </c>
      <c r="P248" s="26" t="n"/>
    </row>
    <row r="249">
      <c r="A249" s="23" t="n">
        <v>46505</v>
      </c>
      <c r="B249" s="24" t="n"/>
      <c r="C249" s="24" t="n"/>
      <c r="D249" s="24" t="n"/>
      <c r="E249" s="24" t="n"/>
      <c r="F249" s="24" t="n"/>
      <c r="G249" s="24" t="n"/>
      <c r="H249" s="24" t="n"/>
      <c r="I249" s="24" t="n"/>
      <c r="J249" s="24" t="n"/>
      <c r="K249" s="12">
        <f>I249-B249-J249</f>
        <v/>
      </c>
      <c r="L249" s="12">
        <f>IFERROR(B249/C249,"")</f>
        <v/>
      </c>
      <c r="M249" s="12">
        <f>IFERROR(B249/D249,"")</f>
        <v/>
      </c>
      <c r="N249" s="12">
        <f>ROUND(I249*$S$6,0)</f>
        <v/>
      </c>
      <c r="O249" s="25">
        <f>IF(A249&gt;TODAY(),"—",IF(SUM(B249:J249)=0,"⬜ ยังไม่บันทึก",IF(AND(D249&gt;=$S$4,IFERROR(B249/D249,0)&lt;=$S$5),"✅ ผ่าน","⚠️ ต้องปรับ")))</f>
        <v/>
      </c>
      <c r="P249" s="26" t="n"/>
    </row>
    <row r="250">
      <c r="A250" s="23" t="n">
        <v>46506</v>
      </c>
      <c r="B250" s="24" t="n"/>
      <c r="C250" s="24" t="n"/>
      <c r="D250" s="24" t="n"/>
      <c r="E250" s="24" t="n"/>
      <c r="F250" s="24" t="n"/>
      <c r="G250" s="24" t="n"/>
      <c r="H250" s="24" t="n"/>
      <c r="I250" s="24" t="n"/>
      <c r="J250" s="24" t="n"/>
      <c r="K250" s="12">
        <f>I250-B250-J250</f>
        <v/>
      </c>
      <c r="L250" s="12">
        <f>IFERROR(B250/C250,"")</f>
        <v/>
      </c>
      <c r="M250" s="12">
        <f>IFERROR(B250/D250,"")</f>
        <v/>
      </c>
      <c r="N250" s="12">
        <f>ROUND(I250*$S$6,0)</f>
        <v/>
      </c>
      <c r="O250" s="25">
        <f>IF(A250&gt;TODAY(),"—",IF(SUM(B250:J250)=0,"⬜ ยังไม่บันทึก",IF(AND(D250&gt;=$S$4,IFERROR(B250/D250,0)&lt;=$S$5),"✅ ผ่าน","⚠️ ต้องปรับ")))</f>
        <v/>
      </c>
      <c r="P250" s="26" t="n"/>
    </row>
    <row r="251">
      <c r="A251" s="23" t="n">
        <v>46507</v>
      </c>
      <c r="B251" s="24" t="n"/>
      <c r="C251" s="24" t="n"/>
      <c r="D251" s="24" t="n"/>
      <c r="E251" s="24" t="n"/>
      <c r="F251" s="24" t="n"/>
      <c r="G251" s="24" t="n"/>
      <c r="H251" s="24" t="n"/>
      <c r="I251" s="24" t="n"/>
      <c r="J251" s="24" t="n"/>
      <c r="K251" s="12">
        <f>I251-B251-J251</f>
        <v/>
      </c>
      <c r="L251" s="12">
        <f>IFERROR(B251/C251,"")</f>
        <v/>
      </c>
      <c r="M251" s="12">
        <f>IFERROR(B251/D251,"")</f>
        <v/>
      </c>
      <c r="N251" s="12">
        <f>ROUND(I251*$S$6,0)</f>
        <v/>
      </c>
      <c r="O251" s="25">
        <f>IF(A251&gt;TODAY(),"—",IF(SUM(B251:J251)=0,"⬜ ยังไม่บันทึก",IF(AND(D251&gt;=$S$4,IFERROR(B251/D251,0)&lt;=$S$5),"✅ ผ่าน","⚠️ ต้องปรับ")))</f>
        <v/>
      </c>
      <c r="P251" s="26" t="n"/>
    </row>
    <row r="252">
      <c r="A252" s="31" t="n">
        <v>46508</v>
      </c>
      <c r="B252" s="24" t="n"/>
      <c r="C252" s="24" t="n"/>
      <c r="D252" s="24" t="n"/>
      <c r="E252" s="24" t="n"/>
      <c r="F252" s="24" t="n"/>
      <c r="G252" s="24" t="n"/>
      <c r="H252" s="24" t="n"/>
      <c r="I252" s="24" t="n"/>
      <c r="J252" s="24" t="n"/>
      <c r="K252" s="12">
        <f>I252-B252-J252</f>
        <v/>
      </c>
      <c r="L252" s="12">
        <f>IFERROR(B252/C252,"")</f>
        <v/>
      </c>
      <c r="M252" s="12">
        <f>IFERROR(B252/D252,"")</f>
        <v/>
      </c>
      <c r="N252" s="12">
        <f>ROUND(I252*$S$6,0)</f>
        <v/>
      </c>
      <c r="O252" s="25">
        <f>IF(A252&gt;TODAY(),"—",IF(SUM(B252:J252)=0,"⬜ ยังไม่บันทึก",IF(AND(D252&gt;=$S$4,IFERROR(B252/D252,0)&lt;=$S$5),"✅ ผ่าน","⚠️ ต้องปรับ")))</f>
        <v/>
      </c>
      <c r="P252" s="26" t="n"/>
    </row>
    <row r="253">
      <c r="A253" s="23" t="n">
        <v>46509</v>
      </c>
      <c r="B253" s="24" t="n"/>
      <c r="C253" s="24" t="n"/>
      <c r="D253" s="24" t="n"/>
      <c r="E253" s="24" t="n"/>
      <c r="F253" s="24" t="n"/>
      <c r="G253" s="24" t="n"/>
      <c r="H253" s="24" t="n"/>
      <c r="I253" s="24" t="n"/>
      <c r="J253" s="24" t="n"/>
      <c r="K253" s="12">
        <f>I253-B253-J253</f>
        <v/>
      </c>
      <c r="L253" s="12">
        <f>IFERROR(B253/C253,"")</f>
        <v/>
      </c>
      <c r="M253" s="12">
        <f>IFERROR(B253/D253,"")</f>
        <v/>
      </c>
      <c r="N253" s="12">
        <f>ROUND(I253*$S$6,0)</f>
        <v/>
      </c>
      <c r="O253" s="25">
        <f>IF(A253&gt;TODAY(),"—",IF(SUM(B253:J253)=0,"⬜ ยังไม่บันทึก",IF(AND(D253&gt;=$S$4,IFERROR(B253/D253,0)&lt;=$S$5),"✅ ผ่าน","⚠️ ต้องปรับ")))</f>
        <v/>
      </c>
      <c r="P253" s="26" t="n"/>
    </row>
    <row r="254">
      <c r="A254" s="23" t="n">
        <v>46510</v>
      </c>
      <c r="B254" s="24" t="n"/>
      <c r="C254" s="24" t="n"/>
      <c r="D254" s="24" t="n"/>
      <c r="E254" s="24" t="n"/>
      <c r="F254" s="24" t="n"/>
      <c r="G254" s="24" t="n"/>
      <c r="H254" s="24" t="n"/>
      <c r="I254" s="24" t="n"/>
      <c r="J254" s="24" t="n"/>
      <c r="K254" s="12">
        <f>I254-B254-J254</f>
        <v/>
      </c>
      <c r="L254" s="12">
        <f>IFERROR(B254/C254,"")</f>
        <v/>
      </c>
      <c r="M254" s="12">
        <f>IFERROR(B254/D254,"")</f>
        <v/>
      </c>
      <c r="N254" s="12">
        <f>ROUND(I254*$S$6,0)</f>
        <v/>
      </c>
      <c r="O254" s="25">
        <f>IF(A254&gt;TODAY(),"—",IF(SUM(B254:J254)=0,"⬜ ยังไม่บันทึก",IF(AND(D254&gt;=$S$4,IFERROR(B254/D254,0)&lt;=$S$5),"✅ ผ่าน","⚠️ ต้องปรับ")))</f>
        <v/>
      </c>
      <c r="P254" s="26" t="n"/>
    </row>
    <row r="255">
      <c r="A255" s="23" t="n">
        <v>46511</v>
      </c>
      <c r="B255" s="24" t="n"/>
      <c r="C255" s="24" t="n"/>
      <c r="D255" s="24" t="n"/>
      <c r="E255" s="24" t="n"/>
      <c r="F255" s="24" t="n"/>
      <c r="G255" s="24" t="n"/>
      <c r="H255" s="24" t="n"/>
      <c r="I255" s="24" t="n"/>
      <c r="J255" s="24" t="n"/>
      <c r="K255" s="12">
        <f>I255-B255-J255</f>
        <v/>
      </c>
      <c r="L255" s="12">
        <f>IFERROR(B255/C255,"")</f>
        <v/>
      </c>
      <c r="M255" s="12">
        <f>IFERROR(B255/D255,"")</f>
        <v/>
      </c>
      <c r="N255" s="12">
        <f>ROUND(I255*$S$6,0)</f>
        <v/>
      </c>
      <c r="O255" s="25">
        <f>IF(A255&gt;TODAY(),"—",IF(SUM(B255:J255)=0,"⬜ ยังไม่บันทึก",IF(AND(D255&gt;=$S$4,IFERROR(B255/D255,0)&lt;=$S$5),"✅ ผ่าน","⚠️ ต้องปรับ")))</f>
        <v/>
      </c>
      <c r="P255" s="26" t="n"/>
    </row>
    <row r="256">
      <c r="A256" s="23" t="n">
        <v>46512</v>
      </c>
      <c r="B256" s="24" t="n"/>
      <c r="C256" s="24" t="n"/>
      <c r="D256" s="24" t="n"/>
      <c r="E256" s="24" t="n"/>
      <c r="F256" s="24" t="n"/>
      <c r="G256" s="24" t="n"/>
      <c r="H256" s="24" t="n"/>
      <c r="I256" s="24" t="n"/>
      <c r="J256" s="24" t="n"/>
      <c r="K256" s="12">
        <f>I256-B256-J256</f>
        <v/>
      </c>
      <c r="L256" s="12">
        <f>IFERROR(B256/C256,"")</f>
        <v/>
      </c>
      <c r="M256" s="12">
        <f>IFERROR(B256/D256,"")</f>
        <v/>
      </c>
      <c r="N256" s="12">
        <f>ROUND(I256*$S$6,0)</f>
        <v/>
      </c>
      <c r="O256" s="25">
        <f>IF(A256&gt;TODAY(),"—",IF(SUM(B256:J256)=0,"⬜ ยังไม่บันทึก",IF(AND(D256&gt;=$S$4,IFERROR(B256/D256,0)&lt;=$S$5),"✅ ผ่าน","⚠️ ต้องปรับ")))</f>
        <v/>
      </c>
      <c r="P256" s="26" t="n"/>
    </row>
    <row r="257">
      <c r="A257" s="23" t="n">
        <v>46513</v>
      </c>
      <c r="B257" s="24" t="n"/>
      <c r="C257" s="24" t="n"/>
      <c r="D257" s="24" t="n"/>
      <c r="E257" s="24" t="n"/>
      <c r="F257" s="24" t="n"/>
      <c r="G257" s="24" t="n"/>
      <c r="H257" s="24" t="n"/>
      <c r="I257" s="24" t="n"/>
      <c r="J257" s="24" t="n"/>
      <c r="K257" s="12">
        <f>I257-B257-J257</f>
        <v/>
      </c>
      <c r="L257" s="12">
        <f>IFERROR(B257/C257,"")</f>
        <v/>
      </c>
      <c r="M257" s="12">
        <f>IFERROR(B257/D257,"")</f>
        <v/>
      </c>
      <c r="N257" s="12">
        <f>ROUND(I257*$S$6,0)</f>
        <v/>
      </c>
      <c r="O257" s="25">
        <f>IF(A257&gt;TODAY(),"—",IF(SUM(B257:J257)=0,"⬜ ยังไม่บันทึก",IF(AND(D257&gt;=$S$4,IFERROR(B257/D257,0)&lt;=$S$5),"✅ ผ่าน","⚠️ ต้องปรับ")))</f>
        <v/>
      </c>
      <c r="P257" s="26" t="n"/>
    </row>
    <row r="258">
      <c r="A258" s="23" t="n">
        <v>46514</v>
      </c>
      <c r="B258" s="24" t="n"/>
      <c r="C258" s="24" t="n"/>
      <c r="D258" s="24" t="n"/>
      <c r="E258" s="24" t="n"/>
      <c r="F258" s="24" t="n"/>
      <c r="G258" s="24" t="n"/>
      <c r="H258" s="24" t="n"/>
      <c r="I258" s="24" t="n"/>
      <c r="J258" s="24" t="n"/>
      <c r="K258" s="12">
        <f>I258-B258-J258</f>
        <v/>
      </c>
      <c r="L258" s="12">
        <f>IFERROR(B258/C258,"")</f>
        <v/>
      </c>
      <c r="M258" s="12">
        <f>IFERROR(B258/D258,"")</f>
        <v/>
      </c>
      <c r="N258" s="12">
        <f>ROUND(I258*$S$6,0)</f>
        <v/>
      </c>
      <c r="O258" s="25">
        <f>IF(A258&gt;TODAY(),"—",IF(SUM(B258:J258)=0,"⬜ ยังไม่บันทึก",IF(AND(D258&gt;=$S$4,IFERROR(B258/D258,0)&lt;=$S$5),"✅ ผ่าน","⚠️ ต้องปรับ")))</f>
        <v/>
      </c>
      <c r="P258" s="26" t="n"/>
    </row>
    <row r="259">
      <c r="A259" s="23" t="n">
        <v>46515</v>
      </c>
      <c r="B259" s="24" t="n"/>
      <c r="C259" s="24" t="n"/>
      <c r="D259" s="24" t="n"/>
      <c r="E259" s="24" t="n"/>
      <c r="F259" s="24" t="n"/>
      <c r="G259" s="24" t="n"/>
      <c r="H259" s="24" t="n"/>
      <c r="I259" s="24" t="n"/>
      <c r="J259" s="24" t="n"/>
      <c r="K259" s="12">
        <f>I259-B259-J259</f>
        <v/>
      </c>
      <c r="L259" s="12">
        <f>IFERROR(B259/C259,"")</f>
        <v/>
      </c>
      <c r="M259" s="12">
        <f>IFERROR(B259/D259,"")</f>
        <v/>
      </c>
      <c r="N259" s="12">
        <f>ROUND(I259*$S$6,0)</f>
        <v/>
      </c>
      <c r="O259" s="25">
        <f>IF(A259&gt;TODAY(),"—",IF(SUM(B259:J259)=0,"⬜ ยังไม่บันทึก",IF(AND(D259&gt;=$S$4,IFERROR(B259/D259,0)&lt;=$S$5),"✅ ผ่าน","⚠️ ต้องปรับ")))</f>
        <v/>
      </c>
      <c r="P259" s="26" t="n"/>
    </row>
    <row r="260">
      <c r="A260" s="23" t="n">
        <v>46516</v>
      </c>
      <c r="B260" s="24" t="n"/>
      <c r="C260" s="24" t="n"/>
      <c r="D260" s="24" t="n"/>
      <c r="E260" s="24" t="n"/>
      <c r="F260" s="24" t="n"/>
      <c r="G260" s="24" t="n"/>
      <c r="H260" s="24" t="n"/>
      <c r="I260" s="24" t="n"/>
      <c r="J260" s="24" t="n"/>
      <c r="K260" s="12">
        <f>I260-B260-J260</f>
        <v/>
      </c>
      <c r="L260" s="12">
        <f>IFERROR(B260/C260,"")</f>
        <v/>
      </c>
      <c r="M260" s="12">
        <f>IFERROR(B260/D260,"")</f>
        <v/>
      </c>
      <c r="N260" s="12">
        <f>ROUND(I260*$S$6,0)</f>
        <v/>
      </c>
      <c r="O260" s="25">
        <f>IF(A260&gt;TODAY(),"—",IF(SUM(B260:J260)=0,"⬜ ยังไม่บันทึก",IF(AND(D260&gt;=$S$4,IFERROR(B260/D260,0)&lt;=$S$5),"✅ ผ่าน","⚠️ ต้องปรับ")))</f>
        <v/>
      </c>
      <c r="P260" s="26" t="n"/>
    </row>
    <row r="261">
      <c r="A261" s="23" t="n">
        <v>46517</v>
      </c>
      <c r="B261" s="24" t="n"/>
      <c r="C261" s="24" t="n"/>
      <c r="D261" s="24" t="n"/>
      <c r="E261" s="24" t="n"/>
      <c r="F261" s="24" t="n"/>
      <c r="G261" s="24" t="n"/>
      <c r="H261" s="24" t="n"/>
      <c r="I261" s="24" t="n"/>
      <c r="J261" s="24" t="n"/>
      <c r="K261" s="12">
        <f>I261-B261-J261</f>
        <v/>
      </c>
      <c r="L261" s="12">
        <f>IFERROR(B261/C261,"")</f>
        <v/>
      </c>
      <c r="M261" s="12">
        <f>IFERROR(B261/D261,"")</f>
        <v/>
      </c>
      <c r="N261" s="12">
        <f>ROUND(I261*$S$6,0)</f>
        <v/>
      </c>
      <c r="O261" s="25">
        <f>IF(A261&gt;TODAY(),"—",IF(SUM(B261:J261)=0,"⬜ ยังไม่บันทึก",IF(AND(D261&gt;=$S$4,IFERROR(B261/D261,0)&lt;=$S$5),"✅ ผ่าน","⚠️ ต้องปรับ")))</f>
        <v/>
      </c>
      <c r="P261" s="26" t="n"/>
    </row>
    <row r="262">
      <c r="A262" s="23" t="n">
        <v>46518</v>
      </c>
      <c r="B262" s="24" t="n"/>
      <c r="C262" s="24" t="n"/>
      <c r="D262" s="24" t="n"/>
      <c r="E262" s="24" t="n"/>
      <c r="F262" s="24" t="n"/>
      <c r="G262" s="24" t="n"/>
      <c r="H262" s="24" t="n"/>
      <c r="I262" s="24" t="n"/>
      <c r="J262" s="24" t="n"/>
      <c r="K262" s="12">
        <f>I262-B262-J262</f>
        <v/>
      </c>
      <c r="L262" s="12">
        <f>IFERROR(B262/C262,"")</f>
        <v/>
      </c>
      <c r="M262" s="12">
        <f>IFERROR(B262/D262,"")</f>
        <v/>
      </c>
      <c r="N262" s="12">
        <f>ROUND(I262*$S$6,0)</f>
        <v/>
      </c>
      <c r="O262" s="25">
        <f>IF(A262&gt;TODAY(),"—",IF(SUM(B262:J262)=0,"⬜ ยังไม่บันทึก",IF(AND(D262&gt;=$S$4,IFERROR(B262/D262,0)&lt;=$S$5),"✅ ผ่าน","⚠️ ต้องปรับ")))</f>
        <v/>
      </c>
      <c r="P262" s="26" t="n"/>
    </row>
    <row r="263">
      <c r="A263" s="23" t="n">
        <v>46519</v>
      </c>
      <c r="B263" s="24" t="n"/>
      <c r="C263" s="24" t="n"/>
      <c r="D263" s="24" t="n"/>
      <c r="E263" s="24" t="n"/>
      <c r="F263" s="24" t="n"/>
      <c r="G263" s="24" t="n"/>
      <c r="H263" s="24" t="n"/>
      <c r="I263" s="24" t="n"/>
      <c r="J263" s="24" t="n"/>
      <c r="K263" s="12">
        <f>I263-B263-J263</f>
        <v/>
      </c>
      <c r="L263" s="12">
        <f>IFERROR(B263/C263,"")</f>
        <v/>
      </c>
      <c r="M263" s="12">
        <f>IFERROR(B263/D263,"")</f>
        <v/>
      </c>
      <c r="N263" s="12">
        <f>ROUND(I263*$S$6,0)</f>
        <v/>
      </c>
      <c r="O263" s="25">
        <f>IF(A263&gt;TODAY(),"—",IF(SUM(B263:J263)=0,"⬜ ยังไม่บันทึก",IF(AND(D263&gt;=$S$4,IFERROR(B263/D263,0)&lt;=$S$5),"✅ ผ่าน","⚠️ ต้องปรับ")))</f>
        <v/>
      </c>
      <c r="P263" s="26" t="n"/>
    </row>
    <row r="264">
      <c r="A264" s="23" t="n">
        <v>46520</v>
      </c>
      <c r="B264" s="24" t="n"/>
      <c r="C264" s="24" t="n"/>
      <c r="D264" s="24" t="n"/>
      <c r="E264" s="24" t="n"/>
      <c r="F264" s="24" t="n"/>
      <c r="G264" s="24" t="n"/>
      <c r="H264" s="24" t="n"/>
      <c r="I264" s="24" t="n"/>
      <c r="J264" s="24" t="n"/>
      <c r="K264" s="12">
        <f>I264-B264-J264</f>
        <v/>
      </c>
      <c r="L264" s="12">
        <f>IFERROR(B264/C264,"")</f>
        <v/>
      </c>
      <c r="M264" s="12">
        <f>IFERROR(B264/D264,"")</f>
        <v/>
      </c>
      <c r="N264" s="12">
        <f>ROUND(I264*$S$6,0)</f>
        <v/>
      </c>
      <c r="O264" s="25">
        <f>IF(A264&gt;TODAY(),"—",IF(SUM(B264:J264)=0,"⬜ ยังไม่บันทึก",IF(AND(D264&gt;=$S$4,IFERROR(B264/D264,0)&lt;=$S$5),"✅ ผ่าน","⚠️ ต้องปรับ")))</f>
        <v/>
      </c>
      <c r="P264" s="26" t="n"/>
    </row>
    <row r="265">
      <c r="A265" s="23" t="n">
        <v>46521</v>
      </c>
      <c r="B265" s="24" t="n"/>
      <c r="C265" s="24" t="n"/>
      <c r="D265" s="24" t="n"/>
      <c r="E265" s="24" t="n"/>
      <c r="F265" s="24" t="n"/>
      <c r="G265" s="24" t="n"/>
      <c r="H265" s="24" t="n"/>
      <c r="I265" s="24" t="n"/>
      <c r="J265" s="24" t="n"/>
      <c r="K265" s="12">
        <f>I265-B265-J265</f>
        <v/>
      </c>
      <c r="L265" s="12">
        <f>IFERROR(B265/C265,"")</f>
        <v/>
      </c>
      <c r="M265" s="12">
        <f>IFERROR(B265/D265,"")</f>
        <v/>
      </c>
      <c r="N265" s="12">
        <f>ROUND(I265*$S$6,0)</f>
        <v/>
      </c>
      <c r="O265" s="25">
        <f>IF(A265&gt;TODAY(),"—",IF(SUM(B265:J265)=0,"⬜ ยังไม่บันทึก",IF(AND(D265&gt;=$S$4,IFERROR(B265/D265,0)&lt;=$S$5),"✅ ผ่าน","⚠️ ต้องปรับ")))</f>
        <v/>
      </c>
      <c r="P265" s="26" t="n"/>
    </row>
    <row r="266">
      <c r="A266" s="23" t="n">
        <v>46522</v>
      </c>
      <c r="B266" s="24" t="n"/>
      <c r="C266" s="24" t="n"/>
      <c r="D266" s="24" t="n"/>
      <c r="E266" s="24" t="n"/>
      <c r="F266" s="24" t="n"/>
      <c r="G266" s="24" t="n"/>
      <c r="H266" s="24" t="n"/>
      <c r="I266" s="24" t="n"/>
      <c r="J266" s="24" t="n"/>
      <c r="K266" s="12">
        <f>I266-B266-J266</f>
        <v/>
      </c>
      <c r="L266" s="12">
        <f>IFERROR(B266/C266,"")</f>
        <v/>
      </c>
      <c r="M266" s="12">
        <f>IFERROR(B266/D266,"")</f>
        <v/>
      </c>
      <c r="N266" s="12">
        <f>ROUND(I266*$S$6,0)</f>
        <v/>
      </c>
      <c r="O266" s="25">
        <f>IF(A266&gt;TODAY(),"—",IF(SUM(B266:J266)=0,"⬜ ยังไม่บันทึก",IF(AND(D266&gt;=$S$4,IFERROR(B266/D266,0)&lt;=$S$5),"✅ ผ่าน","⚠️ ต้องปรับ")))</f>
        <v/>
      </c>
      <c r="P266" s="26" t="n"/>
    </row>
    <row r="267">
      <c r="A267" s="23" t="n">
        <v>46523</v>
      </c>
      <c r="B267" s="24" t="n"/>
      <c r="C267" s="24" t="n"/>
      <c r="D267" s="24" t="n"/>
      <c r="E267" s="24" t="n"/>
      <c r="F267" s="24" t="n"/>
      <c r="G267" s="24" t="n"/>
      <c r="H267" s="24" t="n"/>
      <c r="I267" s="24" t="n"/>
      <c r="J267" s="24" t="n"/>
      <c r="K267" s="12">
        <f>I267-B267-J267</f>
        <v/>
      </c>
      <c r="L267" s="12">
        <f>IFERROR(B267/C267,"")</f>
        <v/>
      </c>
      <c r="M267" s="12">
        <f>IFERROR(B267/D267,"")</f>
        <v/>
      </c>
      <c r="N267" s="12">
        <f>ROUND(I267*$S$6,0)</f>
        <v/>
      </c>
      <c r="O267" s="25">
        <f>IF(A267&gt;TODAY(),"—",IF(SUM(B267:J267)=0,"⬜ ยังไม่บันทึก",IF(AND(D267&gt;=$S$4,IFERROR(B267/D267,0)&lt;=$S$5),"✅ ผ่าน","⚠️ ต้องปรับ")))</f>
        <v/>
      </c>
      <c r="P267" s="26" t="n"/>
    </row>
    <row r="268">
      <c r="A268" s="23" t="n">
        <v>46524</v>
      </c>
      <c r="B268" s="24" t="n"/>
      <c r="C268" s="24" t="n"/>
      <c r="D268" s="24" t="n"/>
      <c r="E268" s="24" t="n"/>
      <c r="F268" s="24" t="n"/>
      <c r="G268" s="24" t="n"/>
      <c r="H268" s="24" t="n"/>
      <c r="I268" s="24" t="n"/>
      <c r="J268" s="24" t="n"/>
      <c r="K268" s="12">
        <f>I268-B268-J268</f>
        <v/>
      </c>
      <c r="L268" s="12">
        <f>IFERROR(B268/C268,"")</f>
        <v/>
      </c>
      <c r="M268" s="12">
        <f>IFERROR(B268/D268,"")</f>
        <v/>
      </c>
      <c r="N268" s="12">
        <f>ROUND(I268*$S$6,0)</f>
        <v/>
      </c>
      <c r="O268" s="25">
        <f>IF(A268&gt;TODAY(),"—",IF(SUM(B268:J268)=0,"⬜ ยังไม่บันทึก",IF(AND(D268&gt;=$S$4,IFERROR(B268/D268,0)&lt;=$S$5),"✅ ผ่าน","⚠️ ต้องปรับ")))</f>
        <v/>
      </c>
      <c r="P268" s="26" t="n"/>
    </row>
    <row r="269">
      <c r="A269" s="23" t="n">
        <v>46525</v>
      </c>
      <c r="B269" s="24" t="n"/>
      <c r="C269" s="24" t="n"/>
      <c r="D269" s="24" t="n"/>
      <c r="E269" s="24" t="n"/>
      <c r="F269" s="24" t="n"/>
      <c r="G269" s="24" t="n"/>
      <c r="H269" s="24" t="n"/>
      <c r="I269" s="24" t="n"/>
      <c r="J269" s="24" t="n"/>
      <c r="K269" s="12">
        <f>I269-B269-J269</f>
        <v/>
      </c>
      <c r="L269" s="12">
        <f>IFERROR(B269/C269,"")</f>
        <v/>
      </c>
      <c r="M269" s="12">
        <f>IFERROR(B269/D269,"")</f>
        <v/>
      </c>
      <c r="N269" s="12">
        <f>ROUND(I269*$S$6,0)</f>
        <v/>
      </c>
      <c r="O269" s="25">
        <f>IF(A269&gt;TODAY(),"—",IF(SUM(B269:J269)=0,"⬜ ยังไม่บันทึก",IF(AND(D269&gt;=$S$4,IFERROR(B269/D269,0)&lt;=$S$5),"✅ ผ่าน","⚠️ ต้องปรับ")))</f>
        <v/>
      </c>
      <c r="P269" s="26" t="n"/>
    </row>
    <row r="270">
      <c r="A270" s="23" t="n">
        <v>46526</v>
      </c>
      <c r="B270" s="24" t="n"/>
      <c r="C270" s="24" t="n"/>
      <c r="D270" s="24" t="n"/>
      <c r="E270" s="24" t="n"/>
      <c r="F270" s="24" t="n"/>
      <c r="G270" s="24" t="n"/>
      <c r="H270" s="24" t="n"/>
      <c r="I270" s="24" t="n"/>
      <c r="J270" s="24" t="n"/>
      <c r="K270" s="12">
        <f>I270-B270-J270</f>
        <v/>
      </c>
      <c r="L270" s="12">
        <f>IFERROR(B270/C270,"")</f>
        <v/>
      </c>
      <c r="M270" s="12">
        <f>IFERROR(B270/D270,"")</f>
        <v/>
      </c>
      <c r="N270" s="12">
        <f>ROUND(I270*$S$6,0)</f>
        <v/>
      </c>
      <c r="O270" s="25">
        <f>IF(A270&gt;TODAY(),"—",IF(SUM(B270:J270)=0,"⬜ ยังไม่บันทึก",IF(AND(D270&gt;=$S$4,IFERROR(B270/D270,0)&lt;=$S$5),"✅ ผ่าน","⚠️ ต้องปรับ")))</f>
        <v/>
      </c>
      <c r="P270" s="26" t="n"/>
    </row>
    <row r="271">
      <c r="A271" s="23" t="n">
        <v>46527</v>
      </c>
      <c r="B271" s="24" t="n"/>
      <c r="C271" s="24" t="n"/>
      <c r="D271" s="24" t="n"/>
      <c r="E271" s="24" t="n"/>
      <c r="F271" s="24" t="n"/>
      <c r="G271" s="24" t="n"/>
      <c r="H271" s="24" t="n"/>
      <c r="I271" s="24" t="n"/>
      <c r="J271" s="24" t="n"/>
      <c r="K271" s="12">
        <f>I271-B271-J271</f>
        <v/>
      </c>
      <c r="L271" s="12">
        <f>IFERROR(B271/C271,"")</f>
        <v/>
      </c>
      <c r="M271" s="12">
        <f>IFERROR(B271/D271,"")</f>
        <v/>
      </c>
      <c r="N271" s="12">
        <f>ROUND(I271*$S$6,0)</f>
        <v/>
      </c>
      <c r="O271" s="25">
        <f>IF(A271&gt;TODAY(),"—",IF(SUM(B271:J271)=0,"⬜ ยังไม่บันทึก",IF(AND(D271&gt;=$S$4,IFERROR(B271/D271,0)&lt;=$S$5),"✅ ผ่าน","⚠️ ต้องปรับ")))</f>
        <v/>
      </c>
      <c r="P271" s="26" t="n"/>
    </row>
    <row r="272">
      <c r="A272" s="23" t="n">
        <v>46528</v>
      </c>
      <c r="B272" s="24" t="n"/>
      <c r="C272" s="24" t="n"/>
      <c r="D272" s="24" t="n"/>
      <c r="E272" s="24" t="n"/>
      <c r="F272" s="24" t="n"/>
      <c r="G272" s="24" t="n"/>
      <c r="H272" s="24" t="n"/>
      <c r="I272" s="24" t="n"/>
      <c r="J272" s="24" t="n"/>
      <c r="K272" s="12">
        <f>I272-B272-J272</f>
        <v/>
      </c>
      <c r="L272" s="12">
        <f>IFERROR(B272/C272,"")</f>
        <v/>
      </c>
      <c r="M272" s="12">
        <f>IFERROR(B272/D272,"")</f>
        <v/>
      </c>
      <c r="N272" s="12">
        <f>ROUND(I272*$S$6,0)</f>
        <v/>
      </c>
      <c r="O272" s="25">
        <f>IF(A272&gt;TODAY(),"—",IF(SUM(B272:J272)=0,"⬜ ยังไม่บันทึก",IF(AND(D272&gt;=$S$4,IFERROR(B272/D272,0)&lt;=$S$5),"✅ ผ่าน","⚠️ ต้องปรับ")))</f>
        <v/>
      </c>
      <c r="P272" s="26" t="n"/>
    </row>
    <row r="273">
      <c r="A273" s="23" t="n">
        <v>46529</v>
      </c>
      <c r="B273" s="24" t="n"/>
      <c r="C273" s="24" t="n"/>
      <c r="D273" s="24" t="n"/>
      <c r="E273" s="24" t="n"/>
      <c r="F273" s="24" t="n"/>
      <c r="G273" s="24" t="n"/>
      <c r="H273" s="24" t="n"/>
      <c r="I273" s="24" t="n"/>
      <c r="J273" s="24" t="n"/>
      <c r="K273" s="12">
        <f>I273-B273-J273</f>
        <v/>
      </c>
      <c r="L273" s="12">
        <f>IFERROR(B273/C273,"")</f>
        <v/>
      </c>
      <c r="M273" s="12">
        <f>IFERROR(B273/D273,"")</f>
        <v/>
      </c>
      <c r="N273" s="12">
        <f>ROUND(I273*$S$6,0)</f>
        <v/>
      </c>
      <c r="O273" s="25">
        <f>IF(A273&gt;TODAY(),"—",IF(SUM(B273:J273)=0,"⬜ ยังไม่บันทึก",IF(AND(D273&gt;=$S$4,IFERROR(B273/D273,0)&lt;=$S$5),"✅ ผ่าน","⚠️ ต้องปรับ")))</f>
        <v/>
      </c>
      <c r="P273" s="26" t="n"/>
    </row>
    <row r="274">
      <c r="A274" s="23" t="n">
        <v>46530</v>
      </c>
      <c r="B274" s="24" t="n"/>
      <c r="C274" s="24" t="n"/>
      <c r="D274" s="24" t="n"/>
      <c r="E274" s="24" t="n"/>
      <c r="F274" s="24" t="n"/>
      <c r="G274" s="24" t="n"/>
      <c r="H274" s="24" t="n"/>
      <c r="I274" s="24" t="n"/>
      <c r="J274" s="24" t="n"/>
      <c r="K274" s="12">
        <f>I274-B274-J274</f>
        <v/>
      </c>
      <c r="L274" s="12">
        <f>IFERROR(B274/C274,"")</f>
        <v/>
      </c>
      <c r="M274" s="12">
        <f>IFERROR(B274/D274,"")</f>
        <v/>
      </c>
      <c r="N274" s="12">
        <f>ROUND(I274*$S$6,0)</f>
        <v/>
      </c>
      <c r="O274" s="25">
        <f>IF(A274&gt;TODAY(),"—",IF(SUM(B274:J274)=0,"⬜ ยังไม่บันทึก",IF(AND(D274&gt;=$S$4,IFERROR(B274/D274,0)&lt;=$S$5),"✅ ผ่าน","⚠️ ต้องปรับ")))</f>
        <v/>
      </c>
      <c r="P274" s="26" t="n"/>
    </row>
    <row r="275">
      <c r="A275" s="23" t="n">
        <v>46531</v>
      </c>
      <c r="B275" s="24" t="n"/>
      <c r="C275" s="24" t="n"/>
      <c r="D275" s="24" t="n"/>
      <c r="E275" s="24" t="n"/>
      <c r="F275" s="24" t="n"/>
      <c r="G275" s="24" t="n"/>
      <c r="H275" s="24" t="n"/>
      <c r="I275" s="24" t="n"/>
      <c r="J275" s="24" t="n"/>
      <c r="K275" s="12">
        <f>I275-B275-J275</f>
        <v/>
      </c>
      <c r="L275" s="12">
        <f>IFERROR(B275/C275,"")</f>
        <v/>
      </c>
      <c r="M275" s="12">
        <f>IFERROR(B275/D275,"")</f>
        <v/>
      </c>
      <c r="N275" s="12">
        <f>ROUND(I275*$S$6,0)</f>
        <v/>
      </c>
      <c r="O275" s="25">
        <f>IF(A275&gt;TODAY(),"—",IF(SUM(B275:J275)=0,"⬜ ยังไม่บันทึก",IF(AND(D275&gt;=$S$4,IFERROR(B275/D275,0)&lt;=$S$5),"✅ ผ่าน","⚠️ ต้องปรับ")))</f>
        <v/>
      </c>
      <c r="P275" s="26" t="n"/>
    </row>
    <row r="276">
      <c r="A276" s="23" t="n">
        <v>46532</v>
      </c>
      <c r="B276" s="24" t="n"/>
      <c r="C276" s="24" t="n"/>
      <c r="D276" s="24" t="n"/>
      <c r="E276" s="24" t="n"/>
      <c r="F276" s="24" t="n"/>
      <c r="G276" s="24" t="n"/>
      <c r="H276" s="24" t="n"/>
      <c r="I276" s="24" t="n"/>
      <c r="J276" s="24" t="n"/>
      <c r="K276" s="12">
        <f>I276-B276-J276</f>
        <v/>
      </c>
      <c r="L276" s="12">
        <f>IFERROR(B276/C276,"")</f>
        <v/>
      </c>
      <c r="M276" s="12">
        <f>IFERROR(B276/D276,"")</f>
        <v/>
      </c>
      <c r="N276" s="12">
        <f>ROUND(I276*$S$6,0)</f>
        <v/>
      </c>
      <c r="O276" s="25">
        <f>IF(A276&gt;TODAY(),"—",IF(SUM(B276:J276)=0,"⬜ ยังไม่บันทึก",IF(AND(D276&gt;=$S$4,IFERROR(B276/D276,0)&lt;=$S$5),"✅ ผ่าน","⚠️ ต้องปรับ")))</f>
        <v/>
      </c>
      <c r="P276" s="26" t="n"/>
    </row>
    <row r="277">
      <c r="A277" s="23" t="n">
        <v>46533</v>
      </c>
      <c r="B277" s="24" t="n"/>
      <c r="C277" s="24" t="n"/>
      <c r="D277" s="24" t="n"/>
      <c r="E277" s="24" t="n"/>
      <c r="F277" s="24" t="n"/>
      <c r="G277" s="24" t="n"/>
      <c r="H277" s="24" t="n"/>
      <c r="I277" s="24" t="n"/>
      <c r="J277" s="24" t="n"/>
      <c r="K277" s="12">
        <f>I277-B277-J277</f>
        <v/>
      </c>
      <c r="L277" s="12">
        <f>IFERROR(B277/C277,"")</f>
        <v/>
      </c>
      <c r="M277" s="12">
        <f>IFERROR(B277/D277,"")</f>
        <v/>
      </c>
      <c r="N277" s="12">
        <f>ROUND(I277*$S$6,0)</f>
        <v/>
      </c>
      <c r="O277" s="25">
        <f>IF(A277&gt;TODAY(),"—",IF(SUM(B277:J277)=0,"⬜ ยังไม่บันทึก",IF(AND(D277&gt;=$S$4,IFERROR(B277/D277,0)&lt;=$S$5),"✅ ผ่าน","⚠️ ต้องปรับ")))</f>
        <v/>
      </c>
      <c r="P277" s="26" t="n"/>
    </row>
    <row r="278">
      <c r="A278" s="23" t="n">
        <v>46534</v>
      </c>
      <c r="B278" s="24" t="n"/>
      <c r="C278" s="24" t="n"/>
      <c r="D278" s="24" t="n"/>
      <c r="E278" s="24" t="n"/>
      <c r="F278" s="24" t="n"/>
      <c r="G278" s="24" t="n"/>
      <c r="H278" s="24" t="n"/>
      <c r="I278" s="24" t="n"/>
      <c r="J278" s="24" t="n"/>
      <c r="K278" s="12">
        <f>I278-B278-J278</f>
        <v/>
      </c>
      <c r="L278" s="12">
        <f>IFERROR(B278/C278,"")</f>
        <v/>
      </c>
      <c r="M278" s="12">
        <f>IFERROR(B278/D278,"")</f>
        <v/>
      </c>
      <c r="N278" s="12">
        <f>ROUND(I278*$S$6,0)</f>
        <v/>
      </c>
      <c r="O278" s="25">
        <f>IF(A278&gt;TODAY(),"—",IF(SUM(B278:J278)=0,"⬜ ยังไม่บันทึก",IF(AND(D278&gt;=$S$4,IFERROR(B278/D278,0)&lt;=$S$5),"✅ ผ่าน","⚠️ ต้องปรับ")))</f>
        <v/>
      </c>
      <c r="P278" s="26" t="n"/>
    </row>
    <row r="279">
      <c r="A279" s="23" t="n">
        <v>46535</v>
      </c>
      <c r="B279" s="24" t="n"/>
      <c r="C279" s="24" t="n"/>
      <c r="D279" s="24" t="n"/>
      <c r="E279" s="24" t="n"/>
      <c r="F279" s="24" t="n"/>
      <c r="G279" s="24" t="n"/>
      <c r="H279" s="24" t="n"/>
      <c r="I279" s="24" t="n"/>
      <c r="J279" s="24" t="n"/>
      <c r="K279" s="12">
        <f>I279-B279-J279</f>
        <v/>
      </c>
      <c r="L279" s="12">
        <f>IFERROR(B279/C279,"")</f>
        <v/>
      </c>
      <c r="M279" s="12">
        <f>IFERROR(B279/D279,"")</f>
        <v/>
      </c>
      <c r="N279" s="12">
        <f>ROUND(I279*$S$6,0)</f>
        <v/>
      </c>
      <c r="O279" s="25">
        <f>IF(A279&gt;TODAY(),"—",IF(SUM(B279:J279)=0,"⬜ ยังไม่บันทึก",IF(AND(D279&gt;=$S$4,IFERROR(B279/D279,0)&lt;=$S$5),"✅ ผ่าน","⚠️ ต้องปรับ")))</f>
        <v/>
      </c>
      <c r="P279" s="26" t="n"/>
    </row>
    <row r="280">
      <c r="A280" s="23" t="n">
        <v>46536</v>
      </c>
      <c r="B280" s="24" t="n"/>
      <c r="C280" s="24" t="n"/>
      <c r="D280" s="24" t="n"/>
      <c r="E280" s="24" t="n"/>
      <c r="F280" s="24" t="n"/>
      <c r="G280" s="24" t="n"/>
      <c r="H280" s="24" t="n"/>
      <c r="I280" s="24" t="n"/>
      <c r="J280" s="24" t="n"/>
      <c r="K280" s="12">
        <f>I280-B280-J280</f>
        <v/>
      </c>
      <c r="L280" s="12">
        <f>IFERROR(B280/C280,"")</f>
        <v/>
      </c>
      <c r="M280" s="12">
        <f>IFERROR(B280/D280,"")</f>
        <v/>
      </c>
      <c r="N280" s="12">
        <f>ROUND(I280*$S$6,0)</f>
        <v/>
      </c>
      <c r="O280" s="25">
        <f>IF(A280&gt;TODAY(),"—",IF(SUM(B280:J280)=0,"⬜ ยังไม่บันทึก",IF(AND(D280&gt;=$S$4,IFERROR(B280/D280,0)&lt;=$S$5),"✅ ผ่าน","⚠️ ต้องปรับ")))</f>
        <v/>
      </c>
      <c r="P280" s="26" t="n"/>
    </row>
    <row r="281">
      <c r="A281" s="23" t="n">
        <v>46537</v>
      </c>
      <c r="B281" s="24" t="n"/>
      <c r="C281" s="24" t="n"/>
      <c r="D281" s="24" t="n"/>
      <c r="E281" s="24" t="n"/>
      <c r="F281" s="24" t="n"/>
      <c r="G281" s="24" t="n"/>
      <c r="H281" s="24" t="n"/>
      <c r="I281" s="24" t="n"/>
      <c r="J281" s="24" t="n"/>
      <c r="K281" s="12">
        <f>I281-B281-J281</f>
        <v/>
      </c>
      <c r="L281" s="12">
        <f>IFERROR(B281/C281,"")</f>
        <v/>
      </c>
      <c r="M281" s="12">
        <f>IFERROR(B281/D281,"")</f>
        <v/>
      </c>
      <c r="N281" s="12">
        <f>ROUND(I281*$S$6,0)</f>
        <v/>
      </c>
      <c r="O281" s="25">
        <f>IF(A281&gt;TODAY(),"—",IF(SUM(B281:J281)=0,"⬜ ยังไม่บันทึก",IF(AND(D281&gt;=$S$4,IFERROR(B281/D281,0)&lt;=$S$5),"✅ ผ่าน","⚠️ ต้องปรับ")))</f>
        <v/>
      </c>
      <c r="P281" s="26" t="n"/>
    </row>
    <row r="282">
      <c r="A282" s="23" t="n">
        <v>46538</v>
      </c>
      <c r="B282" s="24" t="n"/>
      <c r="C282" s="24" t="n"/>
      <c r="D282" s="24" t="n"/>
      <c r="E282" s="24" t="n"/>
      <c r="F282" s="24" t="n"/>
      <c r="G282" s="24" t="n"/>
      <c r="H282" s="24" t="n"/>
      <c r="I282" s="24" t="n"/>
      <c r="J282" s="24" t="n"/>
      <c r="K282" s="12">
        <f>I282-B282-J282</f>
        <v/>
      </c>
      <c r="L282" s="12">
        <f>IFERROR(B282/C282,"")</f>
        <v/>
      </c>
      <c r="M282" s="12">
        <f>IFERROR(B282/D282,"")</f>
        <v/>
      </c>
      <c r="N282" s="12">
        <f>ROUND(I282*$S$6,0)</f>
        <v/>
      </c>
      <c r="O282" s="25">
        <f>IF(A282&gt;TODAY(),"—",IF(SUM(B282:J282)=0,"⬜ ยังไม่บันทึก",IF(AND(D282&gt;=$S$4,IFERROR(B282/D282,0)&lt;=$S$5),"✅ ผ่าน","⚠️ ต้องปรับ")))</f>
        <v/>
      </c>
      <c r="P282" s="26" t="n"/>
    </row>
    <row r="283">
      <c r="A283" s="31" t="n">
        <v>46539</v>
      </c>
      <c r="B283" s="24" t="n"/>
      <c r="C283" s="24" t="n"/>
      <c r="D283" s="24" t="n"/>
      <c r="E283" s="24" t="n"/>
      <c r="F283" s="24" t="n"/>
      <c r="G283" s="24" t="n"/>
      <c r="H283" s="24" t="n"/>
      <c r="I283" s="24" t="n"/>
      <c r="J283" s="24" t="n"/>
      <c r="K283" s="12">
        <f>I283-B283-J283</f>
        <v/>
      </c>
      <c r="L283" s="12">
        <f>IFERROR(B283/C283,"")</f>
        <v/>
      </c>
      <c r="M283" s="12">
        <f>IFERROR(B283/D283,"")</f>
        <v/>
      </c>
      <c r="N283" s="12">
        <f>ROUND(I283*$S$6,0)</f>
        <v/>
      </c>
      <c r="O283" s="25">
        <f>IF(A283&gt;TODAY(),"—",IF(SUM(B283:J283)=0,"⬜ ยังไม่บันทึก",IF(AND(D283&gt;=$S$4,IFERROR(B283/D283,0)&lt;=$S$5),"✅ ผ่าน","⚠️ ต้องปรับ")))</f>
        <v/>
      </c>
      <c r="P283" s="26" t="n"/>
    </row>
    <row r="284">
      <c r="A284" s="23" t="n">
        <v>46540</v>
      </c>
      <c r="B284" s="24" t="n"/>
      <c r="C284" s="24" t="n"/>
      <c r="D284" s="24" t="n"/>
      <c r="E284" s="24" t="n"/>
      <c r="F284" s="24" t="n"/>
      <c r="G284" s="24" t="n"/>
      <c r="H284" s="24" t="n"/>
      <c r="I284" s="24" t="n"/>
      <c r="J284" s="24" t="n"/>
      <c r="K284" s="12">
        <f>I284-B284-J284</f>
        <v/>
      </c>
      <c r="L284" s="12">
        <f>IFERROR(B284/C284,"")</f>
        <v/>
      </c>
      <c r="M284" s="12">
        <f>IFERROR(B284/D284,"")</f>
        <v/>
      </c>
      <c r="N284" s="12">
        <f>ROUND(I284*$S$6,0)</f>
        <v/>
      </c>
      <c r="O284" s="25">
        <f>IF(A284&gt;TODAY(),"—",IF(SUM(B284:J284)=0,"⬜ ยังไม่บันทึก",IF(AND(D284&gt;=$S$4,IFERROR(B284/D284,0)&lt;=$S$5),"✅ ผ่าน","⚠️ ต้องปรับ")))</f>
        <v/>
      </c>
      <c r="P284" s="26" t="n"/>
    </row>
    <row r="285">
      <c r="A285" s="23" t="n">
        <v>46541</v>
      </c>
      <c r="B285" s="24" t="n"/>
      <c r="C285" s="24" t="n"/>
      <c r="D285" s="24" t="n"/>
      <c r="E285" s="24" t="n"/>
      <c r="F285" s="24" t="n"/>
      <c r="G285" s="24" t="n"/>
      <c r="H285" s="24" t="n"/>
      <c r="I285" s="24" t="n"/>
      <c r="J285" s="24" t="n"/>
      <c r="K285" s="12">
        <f>I285-B285-J285</f>
        <v/>
      </c>
      <c r="L285" s="12">
        <f>IFERROR(B285/C285,"")</f>
        <v/>
      </c>
      <c r="M285" s="12">
        <f>IFERROR(B285/D285,"")</f>
        <v/>
      </c>
      <c r="N285" s="12">
        <f>ROUND(I285*$S$6,0)</f>
        <v/>
      </c>
      <c r="O285" s="25">
        <f>IF(A285&gt;TODAY(),"—",IF(SUM(B285:J285)=0,"⬜ ยังไม่บันทึก",IF(AND(D285&gt;=$S$4,IFERROR(B285/D285,0)&lt;=$S$5),"✅ ผ่าน","⚠️ ต้องปรับ")))</f>
        <v/>
      </c>
      <c r="P285" s="26" t="n"/>
    </row>
    <row r="286">
      <c r="A286" s="23" t="n">
        <v>46542</v>
      </c>
      <c r="B286" s="24" t="n"/>
      <c r="C286" s="24" t="n"/>
      <c r="D286" s="24" t="n"/>
      <c r="E286" s="24" t="n"/>
      <c r="F286" s="24" t="n"/>
      <c r="G286" s="24" t="n"/>
      <c r="H286" s="24" t="n"/>
      <c r="I286" s="24" t="n"/>
      <c r="J286" s="24" t="n"/>
      <c r="K286" s="12">
        <f>I286-B286-J286</f>
        <v/>
      </c>
      <c r="L286" s="12">
        <f>IFERROR(B286/C286,"")</f>
        <v/>
      </c>
      <c r="M286" s="12">
        <f>IFERROR(B286/D286,"")</f>
        <v/>
      </c>
      <c r="N286" s="12">
        <f>ROUND(I286*$S$6,0)</f>
        <v/>
      </c>
      <c r="O286" s="25">
        <f>IF(A286&gt;TODAY(),"—",IF(SUM(B286:J286)=0,"⬜ ยังไม่บันทึก",IF(AND(D286&gt;=$S$4,IFERROR(B286/D286,0)&lt;=$S$5),"✅ ผ่าน","⚠️ ต้องปรับ")))</f>
        <v/>
      </c>
      <c r="P286" s="26" t="n"/>
    </row>
    <row r="287">
      <c r="A287" s="23" t="n">
        <v>46543</v>
      </c>
      <c r="B287" s="24" t="n"/>
      <c r="C287" s="24" t="n"/>
      <c r="D287" s="24" t="n"/>
      <c r="E287" s="24" t="n"/>
      <c r="F287" s="24" t="n"/>
      <c r="G287" s="24" t="n"/>
      <c r="H287" s="24" t="n"/>
      <c r="I287" s="24" t="n"/>
      <c r="J287" s="24" t="n"/>
      <c r="K287" s="12">
        <f>I287-B287-J287</f>
        <v/>
      </c>
      <c r="L287" s="12">
        <f>IFERROR(B287/C287,"")</f>
        <v/>
      </c>
      <c r="M287" s="12">
        <f>IFERROR(B287/D287,"")</f>
        <v/>
      </c>
      <c r="N287" s="12">
        <f>ROUND(I287*$S$6,0)</f>
        <v/>
      </c>
      <c r="O287" s="25">
        <f>IF(A287&gt;TODAY(),"—",IF(SUM(B287:J287)=0,"⬜ ยังไม่บันทึก",IF(AND(D287&gt;=$S$4,IFERROR(B287/D287,0)&lt;=$S$5),"✅ ผ่าน","⚠️ ต้องปรับ")))</f>
        <v/>
      </c>
      <c r="P287" s="26" t="n"/>
    </row>
    <row r="288">
      <c r="A288" s="23" t="n">
        <v>46544</v>
      </c>
      <c r="B288" s="24" t="n"/>
      <c r="C288" s="24" t="n"/>
      <c r="D288" s="24" t="n"/>
      <c r="E288" s="24" t="n"/>
      <c r="F288" s="24" t="n"/>
      <c r="G288" s="24" t="n"/>
      <c r="H288" s="24" t="n"/>
      <c r="I288" s="24" t="n"/>
      <c r="J288" s="24" t="n"/>
      <c r="K288" s="12">
        <f>I288-B288-J288</f>
        <v/>
      </c>
      <c r="L288" s="12">
        <f>IFERROR(B288/C288,"")</f>
        <v/>
      </c>
      <c r="M288" s="12">
        <f>IFERROR(B288/D288,"")</f>
        <v/>
      </c>
      <c r="N288" s="12">
        <f>ROUND(I288*$S$6,0)</f>
        <v/>
      </c>
      <c r="O288" s="25">
        <f>IF(A288&gt;TODAY(),"—",IF(SUM(B288:J288)=0,"⬜ ยังไม่บันทึก",IF(AND(D288&gt;=$S$4,IFERROR(B288/D288,0)&lt;=$S$5),"✅ ผ่าน","⚠️ ต้องปรับ")))</f>
        <v/>
      </c>
      <c r="P288" s="26" t="n"/>
    </row>
    <row r="289">
      <c r="A289" s="23" t="n">
        <v>46545</v>
      </c>
      <c r="B289" s="24" t="n"/>
      <c r="C289" s="24" t="n"/>
      <c r="D289" s="24" t="n"/>
      <c r="E289" s="24" t="n"/>
      <c r="F289" s="24" t="n"/>
      <c r="G289" s="24" t="n"/>
      <c r="H289" s="24" t="n"/>
      <c r="I289" s="24" t="n"/>
      <c r="J289" s="24" t="n"/>
      <c r="K289" s="12">
        <f>I289-B289-J289</f>
        <v/>
      </c>
      <c r="L289" s="12">
        <f>IFERROR(B289/C289,"")</f>
        <v/>
      </c>
      <c r="M289" s="12">
        <f>IFERROR(B289/D289,"")</f>
        <v/>
      </c>
      <c r="N289" s="12">
        <f>ROUND(I289*$S$6,0)</f>
        <v/>
      </c>
      <c r="O289" s="25">
        <f>IF(A289&gt;TODAY(),"—",IF(SUM(B289:J289)=0,"⬜ ยังไม่บันทึก",IF(AND(D289&gt;=$S$4,IFERROR(B289/D289,0)&lt;=$S$5),"✅ ผ่าน","⚠️ ต้องปรับ")))</f>
        <v/>
      </c>
      <c r="P289" s="26" t="n"/>
    </row>
    <row r="290">
      <c r="A290" s="23" t="n">
        <v>46546</v>
      </c>
      <c r="B290" s="24" t="n"/>
      <c r="C290" s="24" t="n"/>
      <c r="D290" s="24" t="n"/>
      <c r="E290" s="24" t="n"/>
      <c r="F290" s="24" t="n"/>
      <c r="G290" s="24" t="n"/>
      <c r="H290" s="24" t="n"/>
      <c r="I290" s="24" t="n"/>
      <c r="J290" s="24" t="n"/>
      <c r="K290" s="12">
        <f>I290-B290-J290</f>
        <v/>
      </c>
      <c r="L290" s="12">
        <f>IFERROR(B290/C290,"")</f>
        <v/>
      </c>
      <c r="M290" s="12">
        <f>IFERROR(B290/D290,"")</f>
        <v/>
      </c>
      <c r="N290" s="12">
        <f>ROUND(I290*$S$6,0)</f>
        <v/>
      </c>
      <c r="O290" s="25">
        <f>IF(A290&gt;TODAY(),"—",IF(SUM(B290:J290)=0,"⬜ ยังไม่บันทึก",IF(AND(D290&gt;=$S$4,IFERROR(B290/D290,0)&lt;=$S$5),"✅ ผ่าน","⚠️ ต้องปรับ")))</f>
        <v/>
      </c>
      <c r="P290" s="26" t="n"/>
    </row>
    <row r="291">
      <c r="A291" s="23" t="n">
        <v>46547</v>
      </c>
      <c r="B291" s="24" t="n"/>
      <c r="C291" s="24" t="n"/>
      <c r="D291" s="24" t="n"/>
      <c r="E291" s="24" t="n"/>
      <c r="F291" s="24" t="n"/>
      <c r="G291" s="24" t="n"/>
      <c r="H291" s="24" t="n"/>
      <c r="I291" s="24" t="n"/>
      <c r="J291" s="24" t="n"/>
      <c r="K291" s="12">
        <f>I291-B291-J291</f>
        <v/>
      </c>
      <c r="L291" s="12">
        <f>IFERROR(B291/C291,"")</f>
        <v/>
      </c>
      <c r="M291" s="12">
        <f>IFERROR(B291/D291,"")</f>
        <v/>
      </c>
      <c r="N291" s="12">
        <f>ROUND(I291*$S$6,0)</f>
        <v/>
      </c>
      <c r="O291" s="25">
        <f>IF(A291&gt;TODAY(),"—",IF(SUM(B291:J291)=0,"⬜ ยังไม่บันทึก",IF(AND(D291&gt;=$S$4,IFERROR(B291/D291,0)&lt;=$S$5),"✅ ผ่าน","⚠️ ต้องปรับ")))</f>
        <v/>
      </c>
      <c r="P291" s="26" t="n"/>
    </row>
    <row r="292">
      <c r="A292" s="23" t="n">
        <v>46548</v>
      </c>
      <c r="B292" s="24" t="n"/>
      <c r="C292" s="24" t="n"/>
      <c r="D292" s="24" t="n"/>
      <c r="E292" s="24" t="n"/>
      <c r="F292" s="24" t="n"/>
      <c r="G292" s="24" t="n"/>
      <c r="H292" s="24" t="n"/>
      <c r="I292" s="24" t="n"/>
      <c r="J292" s="24" t="n"/>
      <c r="K292" s="12">
        <f>I292-B292-J292</f>
        <v/>
      </c>
      <c r="L292" s="12">
        <f>IFERROR(B292/C292,"")</f>
        <v/>
      </c>
      <c r="M292" s="12">
        <f>IFERROR(B292/D292,"")</f>
        <v/>
      </c>
      <c r="N292" s="12">
        <f>ROUND(I292*$S$6,0)</f>
        <v/>
      </c>
      <c r="O292" s="25">
        <f>IF(A292&gt;TODAY(),"—",IF(SUM(B292:J292)=0,"⬜ ยังไม่บันทึก",IF(AND(D292&gt;=$S$4,IFERROR(B292/D292,0)&lt;=$S$5),"✅ ผ่าน","⚠️ ต้องปรับ")))</f>
        <v/>
      </c>
      <c r="P292" s="26" t="n"/>
    </row>
    <row r="293">
      <c r="A293" s="23" t="n">
        <v>46549</v>
      </c>
      <c r="B293" s="24" t="n"/>
      <c r="C293" s="24" t="n"/>
      <c r="D293" s="24" t="n"/>
      <c r="E293" s="24" t="n"/>
      <c r="F293" s="24" t="n"/>
      <c r="G293" s="24" t="n"/>
      <c r="H293" s="24" t="n"/>
      <c r="I293" s="24" t="n"/>
      <c r="J293" s="24" t="n"/>
      <c r="K293" s="12">
        <f>I293-B293-J293</f>
        <v/>
      </c>
      <c r="L293" s="12">
        <f>IFERROR(B293/C293,"")</f>
        <v/>
      </c>
      <c r="M293" s="12">
        <f>IFERROR(B293/D293,"")</f>
        <v/>
      </c>
      <c r="N293" s="12">
        <f>ROUND(I293*$S$6,0)</f>
        <v/>
      </c>
      <c r="O293" s="25">
        <f>IF(A293&gt;TODAY(),"—",IF(SUM(B293:J293)=0,"⬜ ยังไม่บันทึก",IF(AND(D293&gt;=$S$4,IFERROR(B293/D293,0)&lt;=$S$5),"✅ ผ่าน","⚠️ ต้องปรับ")))</f>
        <v/>
      </c>
      <c r="P293" s="26" t="n"/>
    </row>
    <row r="294">
      <c r="A294" s="23" t="n">
        <v>46550</v>
      </c>
      <c r="B294" s="24" t="n"/>
      <c r="C294" s="24" t="n"/>
      <c r="D294" s="24" t="n"/>
      <c r="E294" s="24" t="n"/>
      <c r="F294" s="24" t="n"/>
      <c r="G294" s="24" t="n"/>
      <c r="H294" s="24" t="n"/>
      <c r="I294" s="24" t="n"/>
      <c r="J294" s="24" t="n"/>
      <c r="K294" s="12">
        <f>I294-B294-J294</f>
        <v/>
      </c>
      <c r="L294" s="12">
        <f>IFERROR(B294/C294,"")</f>
        <v/>
      </c>
      <c r="M294" s="12">
        <f>IFERROR(B294/D294,"")</f>
        <v/>
      </c>
      <c r="N294" s="12">
        <f>ROUND(I294*$S$6,0)</f>
        <v/>
      </c>
      <c r="O294" s="25">
        <f>IF(A294&gt;TODAY(),"—",IF(SUM(B294:J294)=0,"⬜ ยังไม่บันทึก",IF(AND(D294&gt;=$S$4,IFERROR(B294/D294,0)&lt;=$S$5),"✅ ผ่าน","⚠️ ต้องปรับ")))</f>
        <v/>
      </c>
      <c r="P294" s="26" t="n"/>
    </row>
    <row r="295">
      <c r="A295" s="23" t="n">
        <v>46551</v>
      </c>
      <c r="B295" s="24" t="n"/>
      <c r="C295" s="24" t="n"/>
      <c r="D295" s="24" t="n"/>
      <c r="E295" s="24" t="n"/>
      <c r="F295" s="24" t="n"/>
      <c r="G295" s="24" t="n"/>
      <c r="H295" s="24" t="n"/>
      <c r="I295" s="24" t="n"/>
      <c r="J295" s="24" t="n"/>
      <c r="K295" s="12">
        <f>I295-B295-J295</f>
        <v/>
      </c>
      <c r="L295" s="12">
        <f>IFERROR(B295/C295,"")</f>
        <v/>
      </c>
      <c r="M295" s="12">
        <f>IFERROR(B295/D295,"")</f>
        <v/>
      </c>
      <c r="N295" s="12">
        <f>ROUND(I295*$S$6,0)</f>
        <v/>
      </c>
      <c r="O295" s="25">
        <f>IF(A295&gt;TODAY(),"—",IF(SUM(B295:J295)=0,"⬜ ยังไม่บันทึก",IF(AND(D295&gt;=$S$4,IFERROR(B295/D295,0)&lt;=$S$5),"✅ ผ่าน","⚠️ ต้องปรับ")))</f>
        <v/>
      </c>
      <c r="P295" s="26" t="n"/>
    </row>
    <row r="296">
      <c r="A296" s="23" t="n">
        <v>46552</v>
      </c>
      <c r="B296" s="24" t="n"/>
      <c r="C296" s="24" t="n"/>
      <c r="D296" s="24" t="n"/>
      <c r="E296" s="24" t="n"/>
      <c r="F296" s="24" t="n"/>
      <c r="G296" s="24" t="n"/>
      <c r="H296" s="24" t="n"/>
      <c r="I296" s="24" t="n"/>
      <c r="J296" s="24" t="n"/>
      <c r="K296" s="12">
        <f>I296-B296-J296</f>
        <v/>
      </c>
      <c r="L296" s="12">
        <f>IFERROR(B296/C296,"")</f>
        <v/>
      </c>
      <c r="M296" s="12">
        <f>IFERROR(B296/D296,"")</f>
        <v/>
      </c>
      <c r="N296" s="12">
        <f>ROUND(I296*$S$6,0)</f>
        <v/>
      </c>
      <c r="O296" s="25">
        <f>IF(A296&gt;TODAY(),"—",IF(SUM(B296:J296)=0,"⬜ ยังไม่บันทึก",IF(AND(D296&gt;=$S$4,IFERROR(B296/D296,0)&lt;=$S$5),"✅ ผ่าน","⚠️ ต้องปรับ")))</f>
        <v/>
      </c>
      <c r="P296" s="26" t="n"/>
    </row>
    <row r="297">
      <c r="A297" s="23" t="n">
        <v>46553</v>
      </c>
      <c r="B297" s="24" t="n"/>
      <c r="C297" s="24" t="n"/>
      <c r="D297" s="24" t="n"/>
      <c r="E297" s="24" t="n"/>
      <c r="F297" s="24" t="n"/>
      <c r="G297" s="24" t="n"/>
      <c r="H297" s="24" t="n"/>
      <c r="I297" s="24" t="n"/>
      <c r="J297" s="24" t="n"/>
      <c r="K297" s="12">
        <f>I297-B297-J297</f>
        <v/>
      </c>
      <c r="L297" s="12">
        <f>IFERROR(B297/C297,"")</f>
        <v/>
      </c>
      <c r="M297" s="12">
        <f>IFERROR(B297/D297,"")</f>
        <v/>
      </c>
      <c r="N297" s="12">
        <f>ROUND(I297*$S$6,0)</f>
        <v/>
      </c>
      <c r="O297" s="25">
        <f>IF(A297&gt;TODAY(),"—",IF(SUM(B297:J297)=0,"⬜ ยังไม่บันทึก",IF(AND(D297&gt;=$S$4,IFERROR(B297/D297,0)&lt;=$S$5),"✅ ผ่าน","⚠️ ต้องปรับ")))</f>
        <v/>
      </c>
      <c r="P297" s="26" t="n"/>
    </row>
    <row r="298">
      <c r="A298" s="23" t="n">
        <v>46554</v>
      </c>
      <c r="B298" s="24" t="n"/>
      <c r="C298" s="24" t="n"/>
      <c r="D298" s="24" t="n"/>
      <c r="E298" s="24" t="n"/>
      <c r="F298" s="24" t="n"/>
      <c r="G298" s="24" t="n"/>
      <c r="H298" s="24" t="n"/>
      <c r="I298" s="24" t="n"/>
      <c r="J298" s="24" t="n"/>
      <c r="K298" s="12">
        <f>I298-B298-J298</f>
        <v/>
      </c>
      <c r="L298" s="12">
        <f>IFERROR(B298/C298,"")</f>
        <v/>
      </c>
      <c r="M298" s="12">
        <f>IFERROR(B298/D298,"")</f>
        <v/>
      </c>
      <c r="N298" s="12">
        <f>ROUND(I298*$S$6,0)</f>
        <v/>
      </c>
      <c r="O298" s="25">
        <f>IF(A298&gt;TODAY(),"—",IF(SUM(B298:J298)=0,"⬜ ยังไม่บันทึก",IF(AND(D298&gt;=$S$4,IFERROR(B298/D298,0)&lt;=$S$5),"✅ ผ่าน","⚠️ ต้องปรับ")))</f>
        <v/>
      </c>
      <c r="P298" s="26" t="n"/>
    </row>
    <row r="299">
      <c r="A299" s="23" t="n">
        <v>46555</v>
      </c>
      <c r="B299" s="24" t="n"/>
      <c r="C299" s="24" t="n"/>
      <c r="D299" s="24" t="n"/>
      <c r="E299" s="24" t="n"/>
      <c r="F299" s="24" t="n"/>
      <c r="G299" s="24" t="n"/>
      <c r="H299" s="24" t="n"/>
      <c r="I299" s="24" t="n"/>
      <c r="J299" s="24" t="n"/>
      <c r="K299" s="12">
        <f>I299-B299-J299</f>
        <v/>
      </c>
      <c r="L299" s="12">
        <f>IFERROR(B299/C299,"")</f>
        <v/>
      </c>
      <c r="M299" s="12">
        <f>IFERROR(B299/D299,"")</f>
        <v/>
      </c>
      <c r="N299" s="12">
        <f>ROUND(I299*$S$6,0)</f>
        <v/>
      </c>
      <c r="O299" s="25">
        <f>IF(A299&gt;TODAY(),"—",IF(SUM(B299:J299)=0,"⬜ ยังไม่บันทึก",IF(AND(D299&gt;=$S$4,IFERROR(B299/D299,0)&lt;=$S$5),"✅ ผ่าน","⚠️ ต้องปรับ")))</f>
        <v/>
      </c>
      <c r="P299" s="26" t="n"/>
    </row>
    <row r="300">
      <c r="A300" s="23" t="n">
        <v>46556</v>
      </c>
      <c r="B300" s="24" t="n"/>
      <c r="C300" s="24" t="n"/>
      <c r="D300" s="24" t="n"/>
      <c r="E300" s="24" t="n"/>
      <c r="F300" s="24" t="n"/>
      <c r="G300" s="24" t="n"/>
      <c r="H300" s="24" t="n"/>
      <c r="I300" s="24" t="n"/>
      <c r="J300" s="24" t="n"/>
      <c r="K300" s="12">
        <f>I300-B300-J300</f>
        <v/>
      </c>
      <c r="L300" s="12">
        <f>IFERROR(B300/C300,"")</f>
        <v/>
      </c>
      <c r="M300" s="12">
        <f>IFERROR(B300/D300,"")</f>
        <v/>
      </c>
      <c r="N300" s="12">
        <f>ROUND(I300*$S$6,0)</f>
        <v/>
      </c>
      <c r="O300" s="25">
        <f>IF(A300&gt;TODAY(),"—",IF(SUM(B300:J300)=0,"⬜ ยังไม่บันทึก",IF(AND(D300&gt;=$S$4,IFERROR(B300/D300,0)&lt;=$S$5),"✅ ผ่าน","⚠️ ต้องปรับ")))</f>
        <v/>
      </c>
      <c r="P300" s="26" t="n"/>
    </row>
    <row r="301">
      <c r="A301" s="23" t="n">
        <v>46557</v>
      </c>
      <c r="B301" s="24" t="n"/>
      <c r="C301" s="24" t="n"/>
      <c r="D301" s="24" t="n"/>
      <c r="E301" s="24" t="n"/>
      <c r="F301" s="24" t="n"/>
      <c r="G301" s="24" t="n"/>
      <c r="H301" s="24" t="n"/>
      <c r="I301" s="24" t="n"/>
      <c r="J301" s="24" t="n"/>
      <c r="K301" s="12">
        <f>I301-B301-J301</f>
        <v/>
      </c>
      <c r="L301" s="12">
        <f>IFERROR(B301/C301,"")</f>
        <v/>
      </c>
      <c r="M301" s="12">
        <f>IFERROR(B301/D301,"")</f>
        <v/>
      </c>
      <c r="N301" s="12">
        <f>ROUND(I301*$S$6,0)</f>
        <v/>
      </c>
      <c r="O301" s="25">
        <f>IF(A301&gt;TODAY(),"—",IF(SUM(B301:J301)=0,"⬜ ยังไม่บันทึก",IF(AND(D301&gt;=$S$4,IFERROR(B301/D301,0)&lt;=$S$5),"✅ ผ่าน","⚠️ ต้องปรับ")))</f>
        <v/>
      </c>
      <c r="P301" s="26" t="n"/>
    </row>
    <row r="302">
      <c r="A302" s="23" t="n">
        <v>46558</v>
      </c>
      <c r="B302" s="24" t="n"/>
      <c r="C302" s="24" t="n"/>
      <c r="D302" s="24" t="n"/>
      <c r="E302" s="24" t="n"/>
      <c r="F302" s="24" t="n"/>
      <c r="G302" s="24" t="n"/>
      <c r="H302" s="24" t="n"/>
      <c r="I302" s="24" t="n"/>
      <c r="J302" s="24" t="n"/>
      <c r="K302" s="12">
        <f>I302-B302-J302</f>
        <v/>
      </c>
      <c r="L302" s="12">
        <f>IFERROR(B302/C302,"")</f>
        <v/>
      </c>
      <c r="M302" s="12">
        <f>IFERROR(B302/D302,"")</f>
        <v/>
      </c>
      <c r="N302" s="12">
        <f>ROUND(I302*$S$6,0)</f>
        <v/>
      </c>
      <c r="O302" s="25">
        <f>IF(A302&gt;TODAY(),"—",IF(SUM(B302:J302)=0,"⬜ ยังไม่บันทึก",IF(AND(D302&gt;=$S$4,IFERROR(B302/D302,0)&lt;=$S$5),"✅ ผ่าน","⚠️ ต้องปรับ")))</f>
        <v/>
      </c>
      <c r="P302" s="26" t="n"/>
    </row>
    <row r="303">
      <c r="A303" s="23" t="n">
        <v>46559</v>
      </c>
      <c r="B303" s="24" t="n"/>
      <c r="C303" s="24" t="n"/>
      <c r="D303" s="24" t="n"/>
      <c r="E303" s="24" t="n"/>
      <c r="F303" s="24" t="n"/>
      <c r="G303" s="24" t="n"/>
      <c r="H303" s="24" t="n"/>
      <c r="I303" s="24" t="n"/>
      <c r="J303" s="24" t="n"/>
      <c r="K303" s="12">
        <f>I303-B303-J303</f>
        <v/>
      </c>
      <c r="L303" s="12">
        <f>IFERROR(B303/C303,"")</f>
        <v/>
      </c>
      <c r="M303" s="12">
        <f>IFERROR(B303/D303,"")</f>
        <v/>
      </c>
      <c r="N303" s="12">
        <f>ROUND(I303*$S$6,0)</f>
        <v/>
      </c>
      <c r="O303" s="25">
        <f>IF(A303&gt;TODAY(),"—",IF(SUM(B303:J303)=0,"⬜ ยังไม่บันทึก",IF(AND(D303&gt;=$S$4,IFERROR(B303/D303,0)&lt;=$S$5),"✅ ผ่าน","⚠️ ต้องปรับ")))</f>
        <v/>
      </c>
      <c r="P303" s="26" t="n"/>
    </row>
    <row r="304">
      <c r="A304" s="23" t="n">
        <v>46560</v>
      </c>
      <c r="B304" s="24" t="n"/>
      <c r="C304" s="24" t="n"/>
      <c r="D304" s="24" t="n"/>
      <c r="E304" s="24" t="n"/>
      <c r="F304" s="24" t="n"/>
      <c r="G304" s="24" t="n"/>
      <c r="H304" s="24" t="n"/>
      <c r="I304" s="24" t="n"/>
      <c r="J304" s="24" t="n"/>
      <c r="K304" s="12">
        <f>I304-B304-J304</f>
        <v/>
      </c>
      <c r="L304" s="12">
        <f>IFERROR(B304/C304,"")</f>
        <v/>
      </c>
      <c r="M304" s="12">
        <f>IFERROR(B304/D304,"")</f>
        <v/>
      </c>
      <c r="N304" s="12">
        <f>ROUND(I304*$S$6,0)</f>
        <v/>
      </c>
      <c r="O304" s="25">
        <f>IF(A304&gt;TODAY(),"—",IF(SUM(B304:J304)=0,"⬜ ยังไม่บันทึก",IF(AND(D304&gt;=$S$4,IFERROR(B304/D304,0)&lt;=$S$5),"✅ ผ่าน","⚠️ ต้องปรับ")))</f>
        <v/>
      </c>
      <c r="P304" s="26" t="n"/>
    </row>
    <row r="305">
      <c r="A305" s="23" t="n">
        <v>46561</v>
      </c>
      <c r="B305" s="24" t="n"/>
      <c r="C305" s="24" t="n"/>
      <c r="D305" s="24" t="n"/>
      <c r="E305" s="24" t="n"/>
      <c r="F305" s="24" t="n"/>
      <c r="G305" s="24" t="n"/>
      <c r="H305" s="24" t="n"/>
      <c r="I305" s="24" t="n"/>
      <c r="J305" s="24" t="n"/>
      <c r="K305" s="12">
        <f>I305-B305-J305</f>
        <v/>
      </c>
      <c r="L305" s="12">
        <f>IFERROR(B305/C305,"")</f>
        <v/>
      </c>
      <c r="M305" s="12">
        <f>IFERROR(B305/D305,"")</f>
        <v/>
      </c>
      <c r="N305" s="12">
        <f>ROUND(I305*$S$6,0)</f>
        <v/>
      </c>
      <c r="O305" s="25">
        <f>IF(A305&gt;TODAY(),"—",IF(SUM(B305:J305)=0,"⬜ ยังไม่บันทึก",IF(AND(D305&gt;=$S$4,IFERROR(B305/D305,0)&lt;=$S$5),"✅ ผ่าน","⚠️ ต้องปรับ")))</f>
        <v/>
      </c>
      <c r="P305" s="26" t="n"/>
    </row>
    <row r="306">
      <c r="A306" s="23" t="n">
        <v>46562</v>
      </c>
      <c r="B306" s="24" t="n"/>
      <c r="C306" s="24" t="n"/>
      <c r="D306" s="24" t="n"/>
      <c r="E306" s="24" t="n"/>
      <c r="F306" s="24" t="n"/>
      <c r="G306" s="24" t="n"/>
      <c r="H306" s="24" t="n"/>
      <c r="I306" s="24" t="n"/>
      <c r="J306" s="24" t="n"/>
      <c r="K306" s="12">
        <f>I306-B306-J306</f>
        <v/>
      </c>
      <c r="L306" s="12">
        <f>IFERROR(B306/C306,"")</f>
        <v/>
      </c>
      <c r="M306" s="12">
        <f>IFERROR(B306/D306,"")</f>
        <v/>
      </c>
      <c r="N306" s="12">
        <f>ROUND(I306*$S$6,0)</f>
        <v/>
      </c>
      <c r="O306" s="25">
        <f>IF(A306&gt;TODAY(),"—",IF(SUM(B306:J306)=0,"⬜ ยังไม่บันทึก",IF(AND(D306&gt;=$S$4,IFERROR(B306/D306,0)&lt;=$S$5),"✅ ผ่าน","⚠️ ต้องปรับ")))</f>
        <v/>
      </c>
      <c r="P306" s="26" t="n"/>
    </row>
    <row r="307">
      <c r="A307" s="23" t="n">
        <v>46563</v>
      </c>
      <c r="B307" s="24" t="n"/>
      <c r="C307" s="24" t="n"/>
      <c r="D307" s="24" t="n"/>
      <c r="E307" s="24" t="n"/>
      <c r="F307" s="24" t="n"/>
      <c r="G307" s="24" t="n"/>
      <c r="H307" s="24" t="n"/>
      <c r="I307" s="24" t="n"/>
      <c r="J307" s="24" t="n"/>
      <c r="K307" s="12">
        <f>I307-B307-J307</f>
        <v/>
      </c>
      <c r="L307" s="12">
        <f>IFERROR(B307/C307,"")</f>
        <v/>
      </c>
      <c r="M307" s="12">
        <f>IFERROR(B307/D307,"")</f>
        <v/>
      </c>
      <c r="N307" s="12">
        <f>ROUND(I307*$S$6,0)</f>
        <v/>
      </c>
      <c r="O307" s="25">
        <f>IF(A307&gt;TODAY(),"—",IF(SUM(B307:J307)=0,"⬜ ยังไม่บันทึก",IF(AND(D307&gt;=$S$4,IFERROR(B307/D307,0)&lt;=$S$5),"✅ ผ่าน","⚠️ ต้องปรับ")))</f>
        <v/>
      </c>
      <c r="P307" s="26" t="n"/>
    </row>
    <row r="308">
      <c r="A308" s="23" t="n">
        <v>46564</v>
      </c>
      <c r="B308" s="24" t="n"/>
      <c r="C308" s="24" t="n"/>
      <c r="D308" s="24" t="n"/>
      <c r="E308" s="24" t="n"/>
      <c r="F308" s="24" t="n"/>
      <c r="G308" s="24" t="n"/>
      <c r="H308" s="24" t="n"/>
      <c r="I308" s="24" t="n"/>
      <c r="J308" s="24" t="n"/>
      <c r="K308" s="12">
        <f>I308-B308-J308</f>
        <v/>
      </c>
      <c r="L308" s="12">
        <f>IFERROR(B308/C308,"")</f>
        <v/>
      </c>
      <c r="M308" s="12">
        <f>IFERROR(B308/D308,"")</f>
        <v/>
      </c>
      <c r="N308" s="12">
        <f>ROUND(I308*$S$6,0)</f>
        <v/>
      </c>
      <c r="O308" s="25">
        <f>IF(A308&gt;TODAY(),"—",IF(SUM(B308:J308)=0,"⬜ ยังไม่บันทึก",IF(AND(D308&gt;=$S$4,IFERROR(B308/D308,0)&lt;=$S$5),"✅ ผ่าน","⚠️ ต้องปรับ")))</f>
        <v/>
      </c>
      <c r="P308" s="26" t="n"/>
    </row>
    <row r="309">
      <c r="A309" s="23" t="n">
        <v>46565</v>
      </c>
      <c r="B309" s="24" t="n"/>
      <c r="C309" s="24" t="n"/>
      <c r="D309" s="24" t="n"/>
      <c r="E309" s="24" t="n"/>
      <c r="F309" s="24" t="n"/>
      <c r="G309" s="24" t="n"/>
      <c r="H309" s="24" t="n"/>
      <c r="I309" s="24" t="n"/>
      <c r="J309" s="24" t="n"/>
      <c r="K309" s="12">
        <f>I309-B309-J309</f>
        <v/>
      </c>
      <c r="L309" s="12">
        <f>IFERROR(B309/C309,"")</f>
        <v/>
      </c>
      <c r="M309" s="12">
        <f>IFERROR(B309/D309,"")</f>
        <v/>
      </c>
      <c r="N309" s="12">
        <f>ROUND(I309*$S$6,0)</f>
        <v/>
      </c>
      <c r="O309" s="25">
        <f>IF(A309&gt;TODAY(),"—",IF(SUM(B309:J309)=0,"⬜ ยังไม่บันทึก",IF(AND(D309&gt;=$S$4,IFERROR(B309/D309,0)&lt;=$S$5),"✅ ผ่าน","⚠️ ต้องปรับ")))</f>
        <v/>
      </c>
      <c r="P309" s="26" t="n"/>
    </row>
    <row r="310">
      <c r="A310" s="23" t="n">
        <v>46566</v>
      </c>
      <c r="B310" s="24" t="n"/>
      <c r="C310" s="24" t="n"/>
      <c r="D310" s="24" t="n"/>
      <c r="E310" s="24" t="n"/>
      <c r="F310" s="24" t="n"/>
      <c r="G310" s="24" t="n"/>
      <c r="H310" s="24" t="n"/>
      <c r="I310" s="24" t="n"/>
      <c r="J310" s="24" t="n"/>
      <c r="K310" s="12">
        <f>I310-B310-J310</f>
        <v/>
      </c>
      <c r="L310" s="12">
        <f>IFERROR(B310/C310,"")</f>
        <v/>
      </c>
      <c r="M310" s="12">
        <f>IFERROR(B310/D310,"")</f>
        <v/>
      </c>
      <c r="N310" s="12">
        <f>ROUND(I310*$S$6,0)</f>
        <v/>
      </c>
      <c r="O310" s="25">
        <f>IF(A310&gt;TODAY(),"—",IF(SUM(B310:J310)=0,"⬜ ยังไม่บันทึก",IF(AND(D310&gt;=$S$4,IFERROR(B310/D310,0)&lt;=$S$5),"✅ ผ่าน","⚠️ ต้องปรับ")))</f>
        <v/>
      </c>
      <c r="P310" s="26" t="n"/>
    </row>
    <row r="311">
      <c r="A311" s="23" t="n">
        <v>46567</v>
      </c>
      <c r="B311" s="24" t="n"/>
      <c r="C311" s="24" t="n"/>
      <c r="D311" s="24" t="n"/>
      <c r="E311" s="24" t="n"/>
      <c r="F311" s="24" t="n"/>
      <c r="G311" s="24" t="n"/>
      <c r="H311" s="24" t="n"/>
      <c r="I311" s="24" t="n"/>
      <c r="J311" s="24" t="n"/>
      <c r="K311" s="12">
        <f>I311-B311-J311</f>
        <v/>
      </c>
      <c r="L311" s="12">
        <f>IFERROR(B311/C311,"")</f>
        <v/>
      </c>
      <c r="M311" s="12">
        <f>IFERROR(B311/D311,"")</f>
        <v/>
      </c>
      <c r="N311" s="12">
        <f>ROUND(I311*$S$6,0)</f>
        <v/>
      </c>
      <c r="O311" s="25">
        <f>IF(A311&gt;TODAY(),"—",IF(SUM(B311:J311)=0,"⬜ ยังไม่บันทึก",IF(AND(D311&gt;=$S$4,IFERROR(B311/D311,0)&lt;=$S$5),"✅ ผ่าน","⚠️ ต้องปรับ")))</f>
        <v/>
      </c>
      <c r="P311" s="26" t="n"/>
    </row>
    <row r="312">
      <c r="A312" s="23" t="n">
        <v>46568</v>
      </c>
      <c r="B312" s="24" t="n"/>
      <c r="C312" s="24" t="n"/>
      <c r="D312" s="24" t="n"/>
      <c r="E312" s="24" t="n"/>
      <c r="F312" s="24" t="n"/>
      <c r="G312" s="24" t="n"/>
      <c r="H312" s="24" t="n"/>
      <c r="I312" s="24" t="n"/>
      <c r="J312" s="24" t="n"/>
      <c r="K312" s="12">
        <f>I312-B312-J312</f>
        <v/>
      </c>
      <c r="L312" s="12">
        <f>IFERROR(B312/C312,"")</f>
        <v/>
      </c>
      <c r="M312" s="12">
        <f>IFERROR(B312/D312,"")</f>
        <v/>
      </c>
      <c r="N312" s="12">
        <f>ROUND(I312*$S$6,0)</f>
        <v/>
      </c>
      <c r="O312" s="25">
        <f>IF(A312&gt;TODAY(),"—",IF(SUM(B312:J312)=0,"⬜ ยังไม่บันทึก",IF(AND(D312&gt;=$S$4,IFERROR(B312/D312,0)&lt;=$S$5),"✅ ผ่าน","⚠️ ต้องปรับ")))</f>
        <v/>
      </c>
      <c r="P312" s="26" t="n"/>
    </row>
    <row r="313">
      <c r="A313" s="31" t="n">
        <v>46569</v>
      </c>
      <c r="B313" s="24" t="n"/>
      <c r="C313" s="24" t="n"/>
      <c r="D313" s="24" t="n"/>
      <c r="E313" s="24" t="n"/>
      <c r="F313" s="24" t="n"/>
      <c r="G313" s="24" t="n"/>
      <c r="H313" s="24" t="n"/>
      <c r="I313" s="24" t="n"/>
      <c r="J313" s="24" t="n"/>
      <c r="K313" s="12">
        <f>I313-B313-J313</f>
        <v/>
      </c>
      <c r="L313" s="12">
        <f>IFERROR(B313/C313,"")</f>
        <v/>
      </c>
      <c r="M313" s="12">
        <f>IFERROR(B313/D313,"")</f>
        <v/>
      </c>
      <c r="N313" s="12">
        <f>ROUND(I313*$S$6,0)</f>
        <v/>
      </c>
      <c r="O313" s="25">
        <f>IF(A313&gt;TODAY(),"—",IF(SUM(B313:J313)=0,"⬜ ยังไม่บันทึก",IF(AND(D313&gt;=$S$4,IFERROR(B313/D313,0)&lt;=$S$5),"✅ ผ่าน","⚠️ ต้องปรับ")))</f>
        <v/>
      </c>
      <c r="P313" s="26" t="n"/>
    </row>
    <row r="314">
      <c r="A314" s="23" t="n">
        <v>46570</v>
      </c>
      <c r="B314" s="24" t="n"/>
      <c r="C314" s="24" t="n"/>
      <c r="D314" s="24" t="n"/>
      <c r="E314" s="24" t="n"/>
      <c r="F314" s="24" t="n"/>
      <c r="G314" s="24" t="n"/>
      <c r="H314" s="24" t="n"/>
      <c r="I314" s="24" t="n"/>
      <c r="J314" s="24" t="n"/>
      <c r="K314" s="12">
        <f>I314-B314-J314</f>
        <v/>
      </c>
      <c r="L314" s="12">
        <f>IFERROR(B314/C314,"")</f>
        <v/>
      </c>
      <c r="M314" s="12">
        <f>IFERROR(B314/D314,"")</f>
        <v/>
      </c>
      <c r="N314" s="12">
        <f>ROUND(I314*$S$6,0)</f>
        <v/>
      </c>
      <c r="O314" s="25">
        <f>IF(A314&gt;TODAY(),"—",IF(SUM(B314:J314)=0,"⬜ ยังไม่บันทึก",IF(AND(D314&gt;=$S$4,IFERROR(B314/D314,0)&lt;=$S$5),"✅ ผ่าน","⚠️ ต้องปรับ")))</f>
        <v/>
      </c>
      <c r="P314" s="26" t="n"/>
    </row>
    <row r="315">
      <c r="A315" s="23" t="n">
        <v>46571</v>
      </c>
      <c r="B315" s="24" t="n"/>
      <c r="C315" s="24" t="n"/>
      <c r="D315" s="24" t="n"/>
      <c r="E315" s="24" t="n"/>
      <c r="F315" s="24" t="n"/>
      <c r="G315" s="24" t="n"/>
      <c r="H315" s="24" t="n"/>
      <c r="I315" s="24" t="n"/>
      <c r="J315" s="24" t="n"/>
      <c r="K315" s="12">
        <f>I315-B315-J315</f>
        <v/>
      </c>
      <c r="L315" s="12">
        <f>IFERROR(B315/C315,"")</f>
        <v/>
      </c>
      <c r="M315" s="12">
        <f>IFERROR(B315/D315,"")</f>
        <v/>
      </c>
      <c r="N315" s="12">
        <f>ROUND(I315*$S$6,0)</f>
        <v/>
      </c>
      <c r="O315" s="25">
        <f>IF(A315&gt;TODAY(),"—",IF(SUM(B315:J315)=0,"⬜ ยังไม่บันทึก",IF(AND(D315&gt;=$S$4,IFERROR(B315/D315,0)&lt;=$S$5),"✅ ผ่าน","⚠️ ต้องปรับ")))</f>
        <v/>
      </c>
      <c r="P315" s="26" t="n"/>
    </row>
    <row r="316">
      <c r="A316" s="23" t="n">
        <v>46572</v>
      </c>
      <c r="B316" s="24" t="n"/>
      <c r="C316" s="24" t="n"/>
      <c r="D316" s="24" t="n"/>
      <c r="E316" s="24" t="n"/>
      <c r="F316" s="24" t="n"/>
      <c r="G316" s="24" t="n"/>
      <c r="H316" s="24" t="n"/>
      <c r="I316" s="24" t="n"/>
      <c r="J316" s="24" t="n"/>
      <c r="K316" s="12">
        <f>I316-B316-J316</f>
        <v/>
      </c>
      <c r="L316" s="12">
        <f>IFERROR(B316/C316,"")</f>
        <v/>
      </c>
      <c r="M316" s="12">
        <f>IFERROR(B316/D316,"")</f>
        <v/>
      </c>
      <c r="N316" s="12">
        <f>ROUND(I316*$S$6,0)</f>
        <v/>
      </c>
      <c r="O316" s="25">
        <f>IF(A316&gt;TODAY(),"—",IF(SUM(B316:J316)=0,"⬜ ยังไม่บันทึก",IF(AND(D316&gt;=$S$4,IFERROR(B316/D316,0)&lt;=$S$5),"✅ ผ่าน","⚠️ ต้องปรับ")))</f>
        <v/>
      </c>
      <c r="P316" s="26" t="n"/>
    </row>
    <row r="317">
      <c r="A317" s="23" t="n">
        <v>46573</v>
      </c>
      <c r="B317" s="24" t="n"/>
      <c r="C317" s="24" t="n"/>
      <c r="D317" s="24" t="n"/>
      <c r="E317" s="24" t="n"/>
      <c r="F317" s="24" t="n"/>
      <c r="G317" s="24" t="n"/>
      <c r="H317" s="24" t="n"/>
      <c r="I317" s="24" t="n"/>
      <c r="J317" s="24" t="n"/>
      <c r="K317" s="12">
        <f>I317-B317-J317</f>
        <v/>
      </c>
      <c r="L317" s="12">
        <f>IFERROR(B317/C317,"")</f>
        <v/>
      </c>
      <c r="M317" s="12">
        <f>IFERROR(B317/D317,"")</f>
        <v/>
      </c>
      <c r="N317" s="12">
        <f>ROUND(I317*$S$6,0)</f>
        <v/>
      </c>
      <c r="O317" s="25">
        <f>IF(A317&gt;TODAY(),"—",IF(SUM(B317:J317)=0,"⬜ ยังไม่บันทึก",IF(AND(D317&gt;=$S$4,IFERROR(B317/D317,0)&lt;=$S$5),"✅ ผ่าน","⚠️ ต้องปรับ")))</f>
        <v/>
      </c>
      <c r="P317" s="26" t="n"/>
    </row>
    <row r="318">
      <c r="A318" s="23" t="n">
        <v>46574</v>
      </c>
      <c r="B318" s="24" t="n"/>
      <c r="C318" s="24" t="n"/>
      <c r="D318" s="24" t="n"/>
      <c r="E318" s="24" t="n"/>
      <c r="F318" s="24" t="n"/>
      <c r="G318" s="24" t="n"/>
      <c r="H318" s="24" t="n"/>
      <c r="I318" s="24" t="n"/>
      <c r="J318" s="24" t="n"/>
      <c r="K318" s="12">
        <f>I318-B318-J318</f>
        <v/>
      </c>
      <c r="L318" s="12">
        <f>IFERROR(B318/C318,"")</f>
        <v/>
      </c>
      <c r="M318" s="12">
        <f>IFERROR(B318/D318,"")</f>
        <v/>
      </c>
      <c r="N318" s="12">
        <f>ROUND(I318*$S$6,0)</f>
        <v/>
      </c>
      <c r="O318" s="25">
        <f>IF(A318&gt;TODAY(),"—",IF(SUM(B318:J318)=0,"⬜ ยังไม่บันทึก",IF(AND(D318&gt;=$S$4,IFERROR(B318/D318,0)&lt;=$S$5),"✅ ผ่าน","⚠️ ต้องปรับ")))</f>
        <v/>
      </c>
      <c r="P318" s="26" t="n"/>
    </row>
    <row r="319">
      <c r="A319" s="23" t="n">
        <v>46575</v>
      </c>
      <c r="B319" s="24" t="n"/>
      <c r="C319" s="24" t="n"/>
      <c r="D319" s="24" t="n"/>
      <c r="E319" s="24" t="n"/>
      <c r="F319" s="24" t="n"/>
      <c r="G319" s="24" t="n"/>
      <c r="H319" s="24" t="n"/>
      <c r="I319" s="24" t="n"/>
      <c r="J319" s="24" t="n"/>
      <c r="K319" s="12">
        <f>I319-B319-J319</f>
        <v/>
      </c>
      <c r="L319" s="12">
        <f>IFERROR(B319/C319,"")</f>
        <v/>
      </c>
      <c r="M319" s="12">
        <f>IFERROR(B319/D319,"")</f>
        <v/>
      </c>
      <c r="N319" s="12">
        <f>ROUND(I319*$S$6,0)</f>
        <v/>
      </c>
      <c r="O319" s="25">
        <f>IF(A319&gt;TODAY(),"—",IF(SUM(B319:J319)=0,"⬜ ยังไม่บันทึก",IF(AND(D319&gt;=$S$4,IFERROR(B319/D319,0)&lt;=$S$5),"✅ ผ่าน","⚠️ ต้องปรับ")))</f>
        <v/>
      </c>
      <c r="P319" s="26" t="n"/>
    </row>
    <row r="320">
      <c r="A320" s="23" t="n">
        <v>46576</v>
      </c>
      <c r="B320" s="24" t="n"/>
      <c r="C320" s="24" t="n"/>
      <c r="D320" s="24" t="n"/>
      <c r="E320" s="24" t="n"/>
      <c r="F320" s="24" t="n"/>
      <c r="G320" s="24" t="n"/>
      <c r="H320" s="24" t="n"/>
      <c r="I320" s="24" t="n"/>
      <c r="J320" s="24" t="n"/>
      <c r="K320" s="12">
        <f>I320-B320-J320</f>
        <v/>
      </c>
      <c r="L320" s="12">
        <f>IFERROR(B320/C320,"")</f>
        <v/>
      </c>
      <c r="M320" s="12">
        <f>IFERROR(B320/D320,"")</f>
        <v/>
      </c>
      <c r="N320" s="12">
        <f>ROUND(I320*$S$6,0)</f>
        <v/>
      </c>
      <c r="O320" s="25">
        <f>IF(A320&gt;TODAY(),"—",IF(SUM(B320:J320)=0,"⬜ ยังไม่บันทึก",IF(AND(D320&gt;=$S$4,IFERROR(B320/D320,0)&lt;=$S$5),"✅ ผ่าน","⚠️ ต้องปรับ")))</f>
        <v/>
      </c>
      <c r="P320" s="26" t="n"/>
    </row>
    <row r="321">
      <c r="A321" s="23" t="n">
        <v>46577</v>
      </c>
      <c r="B321" s="24" t="n"/>
      <c r="C321" s="24" t="n"/>
      <c r="D321" s="24" t="n"/>
      <c r="E321" s="24" t="n"/>
      <c r="F321" s="24" t="n"/>
      <c r="G321" s="24" t="n"/>
      <c r="H321" s="24" t="n"/>
      <c r="I321" s="24" t="n"/>
      <c r="J321" s="24" t="n"/>
      <c r="K321" s="12">
        <f>I321-B321-J321</f>
        <v/>
      </c>
      <c r="L321" s="12">
        <f>IFERROR(B321/C321,"")</f>
        <v/>
      </c>
      <c r="M321" s="12">
        <f>IFERROR(B321/D321,"")</f>
        <v/>
      </c>
      <c r="N321" s="12">
        <f>ROUND(I321*$S$6,0)</f>
        <v/>
      </c>
      <c r="O321" s="25">
        <f>IF(A321&gt;TODAY(),"—",IF(SUM(B321:J321)=0,"⬜ ยังไม่บันทึก",IF(AND(D321&gt;=$S$4,IFERROR(B321/D321,0)&lt;=$S$5),"✅ ผ่าน","⚠️ ต้องปรับ")))</f>
        <v/>
      </c>
      <c r="P321" s="26" t="n"/>
    </row>
    <row r="322">
      <c r="A322" s="23" t="n">
        <v>46578</v>
      </c>
      <c r="B322" s="24" t="n"/>
      <c r="C322" s="24" t="n"/>
      <c r="D322" s="24" t="n"/>
      <c r="E322" s="24" t="n"/>
      <c r="F322" s="24" t="n"/>
      <c r="G322" s="24" t="n"/>
      <c r="H322" s="24" t="n"/>
      <c r="I322" s="24" t="n"/>
      <c r="J322" s="24" t="n"/>
      <c r="K322" s="12">
        <f>I322-B322-J322</f>
        <v/>
      </c>
      <c r="L322" s="12">
        <f>IFERROR(B322/C322,"")</f>
        <v/>
      </c>
      <c r="M322" s="12">
        <f>IFERROR(B322/D322,"")</f>
        <v/>
      </c>
      <c r="N322" s="12">
        <f>ROUND(I322*$S$6,0)</f>
        <v/>
      </c>
      <c r="O322" s="25">
        <f>IF(A322&gt;TODAY(),"—",IF(SUM(B322:J322)=0,"⬜ ยังไม่บันทึก",IF(AND(D322&gt;=$S$4,IFERROR(B322/D322,0)&lt;=$S$5),"✅ ผ่าน","⚠️ ต้องปรับ")))</f>
        <v/>
      </c>
      <c r="P322" s="26" t="n"/>
    </row>
    <row r="323">
      <c r="A323" s="23" t="n">
        <v>46579</v>
      </c>
      <c r="B323" s="24" t="n"/>
      <c r="C323" s="24" t="n"/>
      <c r="D323" s="24" t="n"/>
      <c r="E323" s="24" t="n"/>
      <c r="F323" s="24" t="n"/>
      <c r="G323" s="24" t="n"/>
      <c r="H323" s="24" t="n"/>
      <c r="I323" s="24" t="n"/>
      <c r="J323" s="24" t="n"/>
      <c r="K323" s="12">
        <f>I323-B323-J323</f>
        <v/>
      </c>
      <c r="L323" s="12">
        <f>IFERROR(B323/C323,"")</f>
        <v/>
      </c>
      <c r="M323" s="12">
        <f>IFERROR(B323/D323,"")</f>
        <v/>
      </c>
      <c r="N323" s="12">
        <f>ROUND(I323*$S$6,0)</f>
        <v/>
      </c>
      <c r="O323" s="25">
        <f>IF(A323&gt;TODAY(),"—",IF(SUM(B323:J323)=0,"⬜ ยังไม่บันทึก",IF(AND(D323&gt;=$S$4,IFERROR(B323/D323,0)&lt;=$S$5),"✅ ผ่าน","⚠️ ต้องปรับ")))</f>
        <v/>
      </c>
      <c r="P323" s="26" t="n"/>
    </row>
    <row r="324">
      <c r="A324" s="23" t="n">
        <v>46580</v>
      </c>
      <c r="B324" s="24" t="n"/>
      <c r="C324" s="24" t="n"/>
      <c r="D324" s="24" t="n"/>
      <c r="E324" s="24" t="n"/>
      <c r="F324" s="24" t="n"/>
      <c r="G324" s="24" t="n"/>
      <c r="H324" s="24" t="n"/>
      <c r="I324" s="24" t="n"/>
      <c r="J324" s="24" t="n"/>
      <c r="K324" s="12">
        <f>I324-B324-J324</f>
        <v/>
      </c>
      <c r="L324" s="12">
        <f>IFERROR(B324/C324,"")</f>
        <v/>
      </c>
      <c r="M324" s="12">
        <f>IFERROR(B324/D324,"")</f>
        <v/>
      </c>
      <c r="N324" s="12">
        <f>ROUND(I324*$S$6,0)</f>
        <v/>
      </c>
      <c r="O324" s="25">
        <f>IF(A324&gt;TODAY(),"—",IF(SUM(B324:J324)=0,"⬜ ยังไม่บันทึก",IF(AND(D324&gt;=$S$4,IFERROR(B324/D324,0)&lt;=$S$5),"✅ ผ่าน","⚠️ ต้องปรับ")))</f>
        <v/>
      </c>
      <c r="P324" s="26" t="n"/>
    </row>
    <row r="325">
      <c r="A325" s="23" t="n">
        <v>46581</v>
      </c>
      <c r="B325" s="24" t="n"/>
      <c r="C325" s="24" t="n"/>
      <c r="D325" s="24" t="n"/>
      <c r="E325" s="24" t="n"/>
      <c r="F325" s="24" t="n"/>
      <c r="G325" s="24" t="n"/>
      <c r="H325" s="24" t="n"/>
      <c r="I325" s="24" t="n"/>
      <c r="J325" s="24" t="n"/>
      <c r="K325" s="12">
        <f>I325-B325-J325</f>
        <v/>
      </c>
      <c r="L325" s="12">
        <f>IFERROR(B325/C325,"")</f>
        <v/>
      </c>
      <c r="M325" s="12">
        <f>IFERROR(B325/D325,"")</f>
        <v/>
      </c>
      <c r="N325" s="12">
        <f>ROUND(I325*$S$6,0)</f>
        <v/>
      </c>
      <c r="O325" s="25">
        <f>IF(A325&gt;TODAY(),"—",IF(SUM(B325:J325)=0,"⬜ ยังไม่บันทึก",IF(AND(D325&gt;=$S$4,IFERROR(B325/D325,0)&lt;=$S$5),"✅ ผ่าน","⚠️ ต้องปรับ")))</f>
        <v/>
      </c>
      <c r="P325" s="26" t="n"/>
    </row>
    <row r="326">
      <c r="A326" s="23" t="n">
        <v>46582</v>
      </c>
      <c r="B326" s="24" t="n"/>
      <c r="C326" s="24" t="n"/>
      <c r="D326" s="24" t="n"/>
      <c r="E326" s="24" t="n"/>
      <c r="F326" s="24" t="n"/>
      <c r="G326" s="24" t="n"/>
      <c r="H326" s="24" t="n"/>
      <c r="I326" s="24" t="n"/>
      <c r="J326" s="24" t="n"/>
      <c r="K326" s="12">
        <f>I326-B326-J326</f>
        <v/>
      </c>
      <c r="L326" s="12">
        <f>IFERROR(B326/C326,"")</f>
        <v/>
      </c>
      <c r="M326" s="12">
        <f>IFERROR(B326/D326,"")</f>
        <v/>
      </c>
      <c r="N326" s="12">
        <f>ROUND(I326*$S$6,0)</f>
        <v/>
      </c>
      <c r="O326" s="25">
        <f>IF(A326&gt;TODAY(),"—",IF(SUM(B326:J326)=0,"⬜ ยังไม่บันทึก",IF(AND(D326&gt;=$S$4,IFERROR(B326/D326,0)&lt;=$S$5),"✅ ผ่าน","⚠️ ต้องปรับ")))</f>
        <v/>
      </c>
      <c r="P326" s="26" t="n"/>
    </row>
    <row r="327">
      <c r="A327" s="23" t="n">
        <v>46583</v>
      </c>
      <c r="B327" s="24" t="n"/>
      <c r="C327" s="24" t="n"/>
      <c r="D327" s="24" t="n"/>
      <c r="E327" s="24" t="n"/>
      <c r="F327" s="24" t="n"/>
      <c r="G327" s="24" t="n"/>
      <c r="H327" s="24" t="n"/>
      <c r="I327" s="24" t="n"/>
      <c r="J327" s="24" t="n"/>
      <c r="K327" s="12">
        <f>I327-B327-J327</f>
        <v/>
      </c>
      <c r="L327" s="12">
        <f>IFERROR(B327/C327,"")</f>
        <v/>
      </c>
      <c r="M327" s="12">
        <f>IFERROR(B327/D327,"")</f>
        <v/>
      </c>
      <c r="N327" s="12">
        <f>ROUND(I327*$S$6,0)</f>
        <v/>
      </c>
      <c r="O327" s="25">
        <f>IF(A327&gt;TODAY(),"—",IF(SUM(B327:J327)=0,"⬜ ยังไม่บันทึก",IF(AND(D327&gt;=$S$4,IFERROR(B327/D327,0)&lt;=$S$5),"✅ ผ่าน","⚠️ ต้องปรับ")))</f>
        <v/>
      </c>
      <c r="P327" s="26" t="n"/>
    </row>
    <row r="328">
      <c r="A328" s="23" t="n">
        <v>46584</v>
      </c>
      <c r="B328" s="24" t="n"/>
      <c r="C328" s="24" t="n"/>
      <c r="D328" s="24" t="n"/>
      <c r="E328" s="24" t="n"/>
      <c r="F328" s="24" t="n"/>
      <c r="G328" s="24" t="n"/>
      <c r="H328" s="24" t="n"/>
      <c r="I328" s="24" t="n"/>
      <c r="J328" s="24" t="n"/>
      <c r="K328" s="12">
        <f>I328-B328-J328</f>
        <v/>
      </c>
      <c r="L328" s="12">
        <f>IFERROR(B328/C328,"")</f>
        <v/>
      </c>
      <c r="M328" s="12">
        <f>IFERROR(B328/D328,"")</f>
        <v/>
      </c>
      <c r="N328" s="12">
        <f>ROUND(I328*$S$6,0)</f>
        <v/>
      </c>
      <c r="O328" s="25">
        <f>IF(A328&gt;TODAY(),"—",IF(SUM(B328:J328)=0,"⬜ ยังไม่บันทึก",IF(AND(D328&gt;=$S$4,IFERROR(B328/D328,0)&lt;=$S$5),"✅ ผ่าน","⚠️ ต้องปรับ")))</f>
        <v/>
      </c>
      <c r="P328" s="26" t="n"/>
    </row>
    <row r="329">
      <c r="A329" s="23" t="n">
        <v>46585</v>
      </c>
      <c r="B329" s="24" t="n"/>
      <c r="C329" s="24" t="n"/>
      <c r="D329" s="24" t="n"/>
      <c r="E329" s="24" t="n"/>
      <c r="F329" s="24" t="n"/>
      <c r="G329" s="24" t="n"/>
      <c r="H329" s="24" t="n"/>
      <c r="I329" s="24" t="n"/>
      <c r="J329" s="24" t="n"/>
      <c r="K329" s="12">
        <f>I329-B329-J329</f>
        <v/>
      </c>
      <c r="L329" s="12">
        <f>IFERROR(B329/C329,"")</f>
        <v/>
      </c>
      <c r="M329" s="12">
        <f>IFERROR(B329/D329,"")</f>
        <v/>
      </c>
      <c r="N329" s="12">
        <f>ROUND(I329*$S$6,0)</f>
        <v/>
      </c>
      <c r="O329" s="25">
        <f>IF(A329&gt;TODAY(),"—",IF(SUM(B329:J329)=0,"⬜ ยังไม่บันทึก",IF(AND(D329&gt;=$S$4,IFERROR(B329/D329,0)&lt;=$S$5),"✅ ผ่าน","⚠️ ต้องปรับ")))</f>
        <v/>
      </c>
      <c r="P329" s="26" t="n"/>
    </row>
    <row r="330">
      <c r="A330" s="23" t="n">
        <v>46586</v>
      </c>
      <c r="B330" s="24" t="n"/>
      <c r="C330" s="24" t="n"/>
      <c r="D330" s="24" t="n"/>
      <c r="E330" s="24" t="n"/>
      <c r="F330" s="24" t="n"/>
      <c r="G330" s="24" t="n"/>
      <c r="H330" s="24" t="n"/>
      <c r="I330" s="24" t="n"/>
      <c r="J330" s="24" t="n"/>
      <c r="K330" s="12">
        <f>I330-B330-J330</f>
        <v/>
      </c>
      <c r="L330" s="12">
        <f>IFERROR(B330/C330,"")</f>
        <v/>
      </c>
      <c r="M330" s="12">
        <f>IFERROR(B330/D330,"")</f>
        <v/>
      </c>
      <c r="N330" s="12">
        <f>ROUND(I330*$S$6,0)</f>
        <v/>
      </c>
      <c r="O330" s="25">
        <f>IF(A330&gt;TODAY(),"—",IF(SUM(B330:J330)=0,"⬜ ยังไม่บันทึก",IF(AND(D330&gt;=$S$4,IFERROR(B330/D330,0)&lt;=$S$5),"✅ ผ่าน","⚠️ ต้องปรับ")))</f>
        <v/>
      </c>
      <c r="P330" s="26" t="n"/>
    </row>
    <row r="331">
      <c r="A331" s="23" t="n">
        <v>46587</v>
      </c>
      <c r="B331" s="24" t="n"/>
      <c r="C331" s="24" t="n"/>
      <c r="D331" s="24" t="n"/>
      <c r="E331" s="24" t="n"/>
      <c r="F331" s="24" t="n"/>
      <c r="G331" s="24" t="n"/>
      <c r="H331" s="24" t="n"/>
      <c r="I331" s="24" t="n"/>
      <c r="J331" s="24" t="n"/>
      <c r="K331" s="12">
        <f>I331-B331-J331</f>
        <v/>
      </c>
      <c r="L331" s="12">
        <f>IFERROR(B331/C331,"")</f>
        <v/>
      </c>
      <c r="M331" s="12">
        <f>IFERROR(B331/D331,"")</f>
        <v/>
      </c>
      <c r="N331" s="12">
        <f>ROUND(I331*$S$6,0)</f>
        <v/>
      </c>
      <c r="O331" s="25">
        <f>IF(A331&gt;TODAY(),"—",IF(SUM(B331:J331)=0,"⬜ ยังไม่บันทึก",IF(AND(D331&gt;=$S$4,IFERROR(B331/D331,0)&lt;=$S$5),"✅ ผ่าน","⚠️ ต้องปรับ")))</f>
        <v/>
      </c>
      <c r="P331" s="26" t="n"/>
    </row>
    <row r="332">
      <c r="A332" s="23" t="n">
        <v>46588</v>
      </c>
      <c r="B332" s="24" t="n"/>
      <c r="C332" s="24" t="n"/>
      <c r="D332" s="24" t="n"/>
      <c r="E332" s="24" t="n"/>
      <c r="F332" s="24" t="n"/>
      <c r="G332" s="24" t="n"/>
      <c r="H332" s="24" t="n"/>
      <c r="I332" s="24" t="n"/>
      <c r="J332" s="24" t="n"/>
      <c r="K332" s="12">
        <f>I332-B332-J332</f>
        <v/>
      </c>
      <c r="L332" s="12">
        <f>IFERROR(B332/C332,"")</f>
        <v/>
      </c>
      <c r="M332" s="12">
        <f>IFERROR(B332/D332,"")</f>
        <v/>
      </c>
      <c r="N332" s="12">
        <f>ROUND(I332*$S$6,0)</f>
        <v/>
      </c>
      <c r="O332" s="25">
        <f>IF(A332&gt;TODAY(),"—",IF(SUM(B332:J332)=0,"⬜ ยังไม่บันทึก",IF(AND(D332&gt;=$S$4,IFERROR(B332/D332,0)&lt;=$S$5),"✅ ผ่าน","⚠️ ต้องปรับ")))</f>
        <v/>
      </c>
      <c r="P332" s="26" t="n"/>
    </row>
    <row r="333">
      <c r="A333" s="23" t="n">
        <v>46589</v>
      </c>
      <c r="B333" s="24" t="n"/>
      <c r="C333" s="24" t="n"/>
      <c r="D333" s="24" t="n"/>
      <c r="E333" s="24" t="n"/>
      <c r="F333" s="24" t="n"/>
      <c r="G333" s="24" t="n"/>
      <c r="H333" s="24" t="n"/>
      <c r="I333" s="24" t="n"/>
      <c r="J333" s="24" t="n"/>
      <c r="K333" s="12">
        <f>I333-B333-J333</f>
        <v/>
      </c>
      <c r="L333" s="12">
        <f>IFERROR(B333/C333,"")</f>
        <v/>
      </c>
      <c r="M333" s="12">
        <f>IFERROR(B333/D333,"")</f>
        <v/>
      </c>
      <c r="N333" s="12">
        <f>ROUND(I333*$S$6,0)</f>
        <v/>
      </c>
      <c r="O333" s="25">
        <f>IF(A333&gt;TODAY(),"—",IF(SUM(B333:J333)=0,"⬜ ยังไม่บันทึก",IF(AND(D333&gt;=$S$4,IFERROR(B333/D333,0)&lt;=$S$5),"✅ ผ่าน","⚠️ ต้องปรับ")))</f>
        <v/>
      </c>
      <c r="P333" s="26" t="n"/>
    </row>
    <row r="334">
      <c r="A334" s="23" t="n">
        <v>46590</v>
      </c>
      <c r="B334" s="24" t="n"/>
      <c r="C334" s="24" t="n"/>
      <c r="D334" s="24" t="n"/>
      <c r="E334" s="24" t="n"/>
      <c r="F334" s="24" t="n"/>
      <c r="G334" s="24" t="n"/>
      <c r="H334" s="24" t="n"/>
      <c r="I334" s="24" t="n"/>
      <c r="J334" s="24" t="n"/>
      <c r="K334" s="12">
        <f>I334-B334-J334</f>
        <v/>
      </c>
      <c r="L334" s="12">
        <f>IFERROR(B334/C334,"")</f>
        <v/>
      </c>
      <c r="M334" s="12">
        <f>IFERROR(B334/D334,"")</f>
        <v/>
      </c>
      <c r="N334" s="12">
        <f>ROUND(I334*$S$6,0)</f>
        <v/>
      </c>
      <c r="O334" s="25">
        <f>IF(A334&gt;TODAY(),"—",IF(SUM(B334:J334)=0,"⬜ ยังไม่บันทึก",IF(AND(D334&gt;=$S$4,IFERROR(B334/D334,0)&lt;=$S$5),"✅ ผ่าน","⚠️ ต้องปรับ")))</f>
        <v/>
      </c>
      <c r="P334" s="26" t="n"/>
    </row>
    <row r="335">
      <c r="A335" s="23" t="n">
        <v>46591</v>
      </c>
      <c r="B335" s="24" t="n"/>
      <c r="C335" s="24" t="n"/>
      <c r="D335" s="24" t="n"/>
      <c r="E335" s="24" t="n"/>
      <c r="F335" s="24" t="n"/>
      <c r="G335" s="24" t="n"/>
      <c r="H335" s="24" t="n"/>
      <c r="I335" s="24" t="n"/>
      <c r="J335" s="24" t="n"/>
      <c r="K335" s="12">
        <f>I335-B335-J335</f>
        <v/>
      </c>
      <c r="L335" s="12">
        <f>IFERROR(B335/C335,"")</f>
        <v/>
      </c>
      <c r="M335" s="12">
        <f>IFERROR(B335/D335,"")</f>
        <v/>
      </c>
      <c r="N335" s="12">
        <f>ROUND(I335*$S$6,0)</f>
        <v/>
      </c>
      <c r="O335" s="25">
        <f>IF(A335&gt;TODAY(),"—",IF(SUM(B335:J335)=0,"⬜ ยังไม่บันทึก",IF(AND(D335&gt;=$S$4,IFERROR(B335/D335,0)&lt;=$S$5),"✅ ผ่าน","⚠️ ต้องปรับ")))</f>
        <v/>
      </c>
      <c r="P335" s="26" t="n"/>
    </row>
    <row r="336">
      <c r="A336" s="23" t="n">
        <v>46592</v>
      </c>
      <c r="B336" s="24" t="n"/>
      <c r="C336" s="24" t="n"/>
      <c r="D336" s="24" t="n"/>
      <c r="E336" s="24" t="n"/>
      <c r="F336" s="24" t="n"/>
      <c r="G336" s="24" t="n"/>
      <c r="H336" s="24" t="n"/>
      <c r="I336" s="24" t="n"/>
      <c r="J336" s="24" t="n"/>
      <c r="K336" s="12">
        <f>I336-B336-J336</f>
        <v/>
      </c>
      <c r="L336" s="12">
        <f>IFERROR(B336/C336,"")</f>
        <v/>
      </c>
      <c r="M336" s="12">
        <f>IFERROR(B336/D336,"")</f>
        <v/>
      </c>
      <c r="N336" s="12">
        <f>ROUND(I336*$S$6,0)</f>
        <v/>
      </c>
      <c r="O336" s="25">
        <f>IF(A336&gt;TODAY(),"—",IF(SUM(B336:J336)=0,"⬜ ยังไม่บันทึก",IF(AND(D336&gt;=$S$4,IFERROR(B336/D336,0)&lt;=$S$5),"✅ ผ่าน","⚠️ ต้องปรับ")))</f>
        <v/>
      </c>
      <c r="P336" s="26" t="n"/>
    </row>
    <row r="337">
      <c r="A337" s="23" t="n">
        <v>46593</v>
      </c>
      <c r="B337" s="24" t="n"/>
      <c r="C337" s="24" t="n"/>
      <c r="D337" s="24" t="n"/>
      <c r="E337" s="24" t="n"/>
      <c r="F337" s="24" t="n"/>
      <c r="G337" s="24" t="n"/>
      <c r="H337" s="24" t="n"/>
      <c r="I337" s="24" t="n"/>
      <c r="J337" s="24" t="n"/>
      <c r="K337" s="12">
        <f>I337-B337-J337</f>
        <v/>
      </c>
      <c r="L337" s="12">
        <f>IFERROR(B337/C337,"")</f>
        <v/>
      </c>
      <c r="M337" s="12">
        <f>IFERROR(B337/D337,"")</f>
        <v/>
      </c>
      <c r="N337" s="12">
        <f>ROUND(I337*$S$6,0)</f>
        <v/>
      </c>
      <c r="O337" s="25">
        <f>IF(A337&gt;TODAY(),"—",IF(SUM(B337:J337)=0,"⬜ ยังไม่บันทึก",IF(AND(D337&gt;=$S$4,IFERROR(B337/D337,0)&lt;=$S$5),"✅ ผ่าน","⚠️ ต้องปรับ")))</f>
        <v/>
      </c>
      <c r="P337" s="26" t="n"/>
    </row>
    <row r="338">
      <c r="A338" s="23" t="n">
        <v>46594</v>
      </c>
      <c r="B338" s="24" t="n"/>
      <c r="C338" s="24" t="n"/>
      <c r="D338" s="24" t="n"/>
      <c r="E338" s="24" t="n"/>
      <c r="F338" s="24" t="n"/>
      <c r="G338" s="24" t="n"/>
      <c r="H338" s="24" t="n"/>
      <c r="I338" s="24" t="n"/>
      <c r="J338" s="24" t="n"/>
      <c r="K338" s="12">
        <f>I338-B338-J338</f>
        <v/>
      </c>
      <c r="L338" s="12">
        <f>IFERROR(B338/C338,"")</f>
        <v/>
      </c>
      <c r="M338" s="12">
        <f>IFERROR(B338/D338,"")</f>
        <v/>
      </c>
      <c r="N338" s="12">
        <f>ROUND(I338*$S$6,0)</f>
        <v/>
      </c>
      <c r="O338" s="25">
        <f>IF(A338&gt;TODAY(),"—",IF(SUM(B338:J338)=0,"⬜ ยังไม่บันทึก",IF(AND(D338&gt;=$S$4,IFERROR(B338/D338,0)&lt;=$S$5),"✅ ผ่าน","⚠️ ต้องปรับ")))</f>
        <v/>
      </c>
      <c r="P338" s="26" t="n"/>
    </row>
    <row r="339">
      <c r="A339" s="23" t="n">
        <v>46595</v>
      </c>
      <c r="B339" s="24" t="n"/>
      <c r="C339" s="24" t="n"/>
      <c r="D339" s="24" t="n"/>
      <c r="E339" s="24" t="n"/>
      <c r="F339" s="24" t="n"/>
      <c r="G339" s="24" t="n"/>
      <c r="H339" s="24" t="n"/>
      <c r="I339" s="24" t="n"/>
      <c r="J339" s="24" t="n"/>
      <c r="K339" s="12">
        <f>I339-B339-J339</f>
        <v/>
      </c>
      <c r="L339" s="12">
        <f>IFERROR(B339/C339,"")</f>
        <v/>
      </c>
      <c r="M339" s="12">
        <f>IFERROR(B339/D339,"")</f>
        <v/>
      </c>
      <c r="N339" s="12">
        <f>ROUND(I339*$S$6,0)</f>
        <v/>
      </c>
      <c r="O339" s="25">
        <f>IF(A339&gt;TODAY(),"—",IF(SUM(B339:J339)=0,"⬜ ยังไม่บันทึก",IF(AND(D339&gt;=$S$4,IFERROR(B339/D339,0)&lt;=$S$5),"✅ ผ่าน","⚠️ ต้องปรับ")))</f>
        <v/>
      </c>
      <c r="P339" s="26" t="n"/>
    </row>
    <row r="340">
      <c r="A340" s="23" t="n">
        <v>46596</v>
      </c>
      <c r="B340" s="24" t="n"/>
      <c r="C340" s="24" t="n"/>
      <c r="D340" s="24" t="n"/>
      <c r="E340" s="24" t="n"/>
      <c r="F340" s="24" t="n"/>
      <c r="G340" s="24" t="n"/>
      <c r="H340" s="24" t="n"/>
      <c r="I340" s="24" t="n"/>
      <c r="J340" s="24" t="n"/>
      <c r="K340" s="12">
        <f>I340-B340-J340</f>
        <v/>
      </c>
      <c r="L340" s="12">
        <f>IFERROR(B340/C340,"")</f>
        <v/>
      </c>
      <c r="M340" s="12">
        <f>IFERROR(B340/D340,"")</f>
        <v/>
      </c>
      <c r="N340" s="12">
        <f>ROUND(I340*$S$6,0)</f>
        <v/>
      </c>
      <c r="O340" s="25">
        <f>IF(A340&gt;TODAY(),"—",IF(SUM(B340:J340)=0,"⬜ ยังไม่บันทึก",IF(AND(D340&gt;=$S$4,IFERROR(B340/D340,0)&lt;=$S$5),"✅ ผ่าน","⚠️ ต้องปรับ")))</f>
        <v/>
      </c>
      <c r="P340" s="26" t="n"/>
    </row>
    <row r="341">
      <c r="A341" s="23" t="n">
        <v>46597</v>
      </c>
      <c r="B341" s="24" t="n"/>
      <c r="C341" s="24" t="n"/>
      <c r="D341" s="24" t="n"/>
      <c r="E341" s="24" t="n"/>
      <c r="F341" s="24" t="n"/>
      <c r="G341" s="24" t="n"/>
      <c r="H341" s="24" t="n"/>
      <c r="I341" s="24" t="n"/>
      <c r="J341" s="24" t="n"/>
      <c r="K341" s="12">
        <f>I341-B341-J341</f>
        <v/>
      </c>
      <c r="L341" s="12">
        <f>IFERROR(B341/C341,"")</f>
        <v/>
      </c>
      <c r="M341" s="12">
        <f>IFERROR(B341/D341,"")</f>
        <v/>
      </c>
      <c r="N341" s="12">
        <f>ROUND(I341*$S$6,0)</f>
        <v/>
      </c>
      <c r="O341" s="25">
        <f>IF(A341&gt;TODAY(),"—",IF(SUM(B341:J341)=0,"⬜ ยังไม่บันทึก",IF(AND(D341&gt;=$S$4,IFERROR(B341/D341,0)&lt;=$S$5),"✅ ผ่าน","⚠️ ต้องปรับ")))</f>
        <v/>
      </c>
      <c r="P341" s="26" t="n"/>
    </row>
    <row r="342">
      <c r="A342" s="23" t="n">
        <v>46598</v>
      </c>
      <c r="B342" s="24" t="n"/>
      <c r="C342" s="24" t="n"/>
      <c r="D342" s="24" t="n"/>
      <c r="E342" s="24" t="n"/>
      <c r="F342" s="24" t="n"/>
      <c r="G342" s="24" t="n"/>
      <c r="H342" s="24" t="n"/>
      <c r="I342" s="24" t="n"/>
      <c r="J342" s="24" t="n"/>
      <c r="K342" s="12">
        <f>I342-B342-J342</f>
        <v/>
      </c>
      <c r="L342" s="12">
        <f>IFERROR(B342/C342,"")</f>
        <v/>
      </c>
      <c r="M342" s="12">
        <f>IFERROR(B342/D342,"")</f>
        <v/>
      </c>
      <c r="N342" s="12">
        <f>ROUND(I342*$S$6,0)</f>
        <v/>
      </c>
      <c r="O342" s="25">
        <f>IF(A342&gt;TODAY(),"—",IF(SUM(B342:J342)=0,"⬜ ยังไม่บันทึก",IF(AND(D342&gt;=$S$4,IFERROR(B342/D342,0)&lt;=$S$5),"✅ ผ่าน","⚠️ ต้องปรับ")))</f>
        <v/>
      </c>
      <c r="P342" s="26" t="n"/>
    </row>
    <row r="343">
      <c r="A343" s="23" t="n">
        <v>46599</v>
      </c>
      <c r="B343" s="24" t="n"/>
      <c r="C343" s="24" t="n"/>
      <c r="D343" s="24" t="n"/>
      <c r="E343" s="24" t="n"/>
      <c r="F343" s="24" t="n"/>
      <c r="G343" s="24" t="n"/>
      <c r="H343" s="24" t="n"/>
      <c r="I343" s="24" t="n"/>
      <c r="J343" s="24" t="n"/>
      <c r="K343" s="12">
        <f>I343-B343-J343</f>
        <v/>
      </c>
      <c r="L343" s="12">
        <f>IFERROR(B343/C343,"")</f>
        <v/>
      </c>
      <c r="M343" s="12">
        <f>IFERROR(B343/D343,"")</f>
        <v/>
      </c>
      <c r="N343" s="12">
        <f>ROUND(I343*$S$6,0)</f>
        <v/>
      </c>
      <c r="O343" s="25">
        <f>IF(A343&gt;TODAY(),"—",IF(SUM(B343:J343)=0,"⬜ ยังไม่บันทึก",IF(AND(D343&gt;=$S$4,IFERROR(B343/D343,0)&lt;=$S$5),"✅ ผ่าน","⚠️ ต้องปรับ")))</f>
        <v/>
      </c>
      <c r="P343" s="26" t="n"/>
    </row>
    <row r="344">
      <c r="A344" s="31" t="n">
        <v>46600</v>
      </c>
      <c r="B344" s="24" t="n"/>
      <c r="C344" s="24" t="n"/>
      <c r="D344" s="24" t="n"/>
      <c r="E344" s="24" t="n"/>
      <c r="F344" s="24" t="n"/>
      <c r="G344" s="24" t="n"/>
      <c r="H344" s="24" t="n"/>
      <c r="I344" s="24" t="n"/>
      <c r="J344" s="24" t="n"/>
      <c r="K344" s="12">
        <f>I344-B344-J344</f>
        <v/>
      </c>
      <c r="L344" s="12">
        <f>IFERROR(B344/C344,"")</f>
        <v/>
      </c>
      <c r="M344" s="12">
        <f>IFERROR(B344/D344,"")</f>
        <v/>
      </c>
      <c r="N344" s="12">
        <f>ROUND(I344*$S$6,0)</f>
        <v/>
      </c>
      <c r="O344" s="25">
        <f>IF(A344&gt;TODAY(),"—",IF(SUM(B344:J344)=0,"⬜ ยังไม่บันทึก",IF(AND(D344&gt;=$S$4,IFERROR(B344/D344,0)&lt;=$S$5),"✅ ผ่าน","⚠️ ต้องปรับ")))</f>
        <v/>
      </c>
      <c r="P344" s="26" t="n"/>
    </row>
    <row r="345">
      <c r="A345" s="23" t="n">
        <v>46601</v>
      </c>
      <c r="B345" s="24" t="n"/>
      <c r="C345" s="24" t="n"/>
      <c r="D345" s="24" t="n"/>
      <c r="E345" s="24" t="n"/>
      <c r="F345" s="24" t="n"/>
      <c r="G345" s="24" t="n"/>
      <c r="H345" s="24" t="n"/>
      <c r="I345" s="24" t="n"/>
      <c r="J345" s="24" t="n"/>
      <c r="K345" s="12">
        <f>I345-B345-J345</f>
        <v/>
      </c>
      <c r="L345" s="12">
        <f>IFERROR(B345/C345,"")</f>
        <v/>
      </c>
      <c r="M345" s="12">
        <f>IFERROR(B345/D345,"")</f>
        <v/>
      </c>
      <c r="N345" s="12">
        <f>ROUND(I345*$S$6,0)</f>
        <v/>
      </c>
      <c r="O345" s="25">
        <f>IF(A345&gt;TODAY(),"—",IF(SUM(B345:J345)=0,"⬜ ยังไม่บันทึก",IF(AND(D345&gt;=$S$4,IFERROR(B345/D345,0)&lt;=$S$5),"✅ ผ่าน","⚠️ ต้องปรับ")))</f>
        <v/>
      </c>
      <c r="P345" s="26" t="n"/>
    </row>
    <row r="346">
      <c r="A346" s="23" t="n">
        <v>46602</v>
      </c>
      <c r="B346" s="24" t="n"/>
      <c r="C346" s="24" t="n"/>
      <c r="D346" s="24" t="n"/>
      <c r="E346" s="24" t="n"/>
      <c r="F346" s="24" t="n"/>
      <c r="G346" s="24" t="n"/>
      <c r="H346" s="24" t="n"/>
      <c r="I346" s="24" t="n"/>
      <c r="J346" s="24" t="n"/>
      <c r="K346" s="12">
        <f>I346-B346-J346</f>
        <v/>
      </c>
      <c r="L346" s="12">
        <f>IFERROR(B346/C346,"")</f>
        <v/>
      </c>
      <c r="M346" s="12">
        <f>IFERROR(B346/D346,"")</f>
        <v/>
      </c>
      <c r="N346" s="12">
        <f>ROUND(I346*$S$6,0)</f>
        <v/>
      </c>
      <c r="O346" s="25">
        <f>IF(A346&gt;TODAY(),"—",IF(SUM(B346:J346)=0,"⬜ ยังไม่บันทึก",IF(AND(D346&gt;=$S$4,IFERROR(B346/D346,0)&lt;=$S$5),"✅ ผ่าน","⚠️ ต้องปรับ")))</f>
        <v/>
      </c>
      <c r="P346" s="26" t="n"/>
    </row>
    <row r="347">
      <c r="A347" s="23" t="n">
        <v>46603</v>
      </c>
      <c r="B347" s="24" t="n"/>
      <c r="C347" s="24" t="n"/>
      <c r="D347" s="24" t="n"/>
      <c r="E347" s="24" t="n"/>
      <c r="F347" s="24" t="n"/>
      <c r="G347" s="24" t="n"/>
      <c r="H347" s="24" t="n"/>
      <c r="I347" s="24" t="n"/>
      <c r="J347" s="24" t="n"/>
      <c r="K347" s="12">
        <f>I347-B347-J347</f>
        <v/>
      </c>
      <c r="L347" s="12">
        <f>IFERROR(B347/C347,"")</f>
        <v/>
      </c>
      <c r="M347" s="12">
        <f>IFERROR(B347/D347,"")</f>
        <v/>
      </c>
      <c r="N347" s="12">
        <f>ROUND(I347*$S$6,0)</f>
        <v/>
      </c>
      <c r="O347" s="25">
        <f>IF(A347&gt;TODAY(),"—",IF(SUM(B347:J347)=0,"⬜ ยังไม่บันทึก",IF(AND(D347&gt;=$S$4,IFERROR(B347/D347,0)&lt;=$S$5),"✅ ผ่าน","⚠️ ต้องปรับ")))</f>
        <v/>
      </c>
      <c r="P347" s="26" t="n"/>
    </row>
    <row r="348">
      <c r="A348" s="23" t="n">
        <v>46604</v>
      </c>
      <c r="B348" s="24" t="n"/>
      <c r="C348" s="24" t="n"/>
      <c r="D348" s="24" t="n"/>
      <c r="E348" s="24" t="n"/>
      <c r="F348" s="24" t="n"/>
      <c r="G348" s="24" t="n"/>
      <c r="H348" s="24" t="n"/>
      <c r="I348" s="24" t="n"/>
      <c r="J348" s="24" t="n"/>
      <c r="K348" s="12">
        <f>I348-B348-J348</f>
        <v/>
      </c>
      <c r="L348" s="12">
        <f>IFERROR(B348/C348,"")</f>
        <v/>
      </c>
      <c r="M348" s="12">
        <f>IFERROR(B348/D348,"")</f>
        <v/>
      </c>
      <c r="N348" s="12">
        <f>ROUND(I348*$S$6,0)</f>
        <v/>
      </c>
      <c r="O348" s="25">
        <f>IF(A348&gt;TODAY(),"—",IF(SUM(B348:J348)=0,"⬜ ยังไม่บันทึก",IF(AND(D348&gt;=$S$4,IFERROR(B348/D348,0)&lt;=$S$5),"✅ ผ่าน","⚠️ ต้องปรับ")))</f>
        <v/>
      </c>
      <c r="P348" s="26" t="n"/>
    </row>
    <row r="349">
      <c r="A349" s="23" t="n">
        <v>46605</v>
      </c>
      <c r="B349" s="24" t="n"/>
      <c r="C349" s="24" t="n"/>
      <c r="D349" s="24" t="n"/>
      <c r="E349" s="24" t="n"/>
      <c r="F349" s="24" t="n"/>
      <c r="G349" s="24" t="n"/>
      <c r="H349" s="24" t="n"/>
      <c r="I349" s="24" t="n"/>
      <c r="J349" s="24" t="n"/>
      <c r="K349" s="12">
        <f>I349-B349-J349</f>
        <v/>
      </c>
      <c r="L349" s="12">
        <f>IFERROR(B349/C349,"")</f>
        <v/>
      </c>
      <c r="M349" s="12">
        <f>IFERROR(B349/D349,"")</f>
        <v/>
      </c>
      <c r="N349" s="12">
        <f>ROUND(I349*$S$6,0)</f>
        <v/>
      </c>
      <c r="O349" s="25">
        <f>IF(A349&gt;TODAY(),"—",IF(SUM(B349:J349)=0,"⬜ ยังไม่บันทึก",IF(AND(D349&gt;=$S$4,IFERROR(B349/D349,0)&lt;=$S$5),"✅ ผ่าน","⚠️ ต้องปรับ")))</f>
        <v/>
      </c>
      <c r="P349" s="26" t="n"/>
    </row>
    <row r="350">
      <c r="A350" s="23" t="n">
        <v>46606</v>
      </c>
      <c r="B350" s="24" t="n"/>
      <c r="C350" s="24" t="n"/>
      <c r="D350" s="24" t="n"/>
      <c r="E350" s="24" t="n"/>
      <c r="F350" s="24" t="n"/>
      <c r="G350" s="24" t="n"/>
      <c r="H350" s="24" t="n"/>
      <c r="I350" s="24" t="n"/>
      <c r="J350" s="24" t="n"/>
      <c r="K350" s="12">
        <f>I350-B350-J350</f>
        <v/>
      </c>
      <c r="L350" s="12">
        <f>IFERROR(B350/C350,"")</f>
        <v/>
      </c>
      <c r="M350" s="12">
        <f>IFERROR(B350/D350,"")</f>
        <v/>
      </c>
      <c r="N350" s="12">
        <f>ROUND(I350*$S$6,0)</f>
        <v/>
      </c>
      <c r="O350" s="25">
        <f>IF(A350&gt;TODAY(),"—",IF(SUM(B350:J350)=0,"⬜ ยังไม่บันทึก",IF(AND(D350&gt;=$S$4,IFERROR(B350/D350,0)&lt;=$S$5),"✅ ผ่าน","⚠️ ต้องปรับ")))</f>
        <v/>
      </c>
      <c r="P350" s="26" t="n"/>
    </row>
    <row r="351">
      <c r="A351" s="23" t="n">
        <v>46607</v>
      </c>
      <c r="B351" s="24" t="n"/>
      <c r="C351" s="24" t="n"/>
      <c r="D351" s="24" t="n"/>
      <c r="E351" s="24" t="n"/>
      <c r="F351" s="24" t="n"/>
      <c r="G351" s="24" t="n"/>
      <c r="H351" s="24" t="n"/>
      <c r="I351" s="24" t="n"/>
      <c r="J351" s="24" t="n"/>
      <c r="K351" s="12">
        <f>I351-B351-J351</f>
        <v/>
      </c>
      <c r="L351" s="12">
        <f>IFERROR(B351/C351,"")</f>
        <v/>
      </c>
      <c r="M351" s="12">
        <f>IFERROR(B351/D351,"")</f>
        <v/>
      </c>
      <c r="N351" s="12">
        <f>ROUND(I351*$S$6,0)</f>
        <v/>
      </c>
      <c r="O351" s="25">
        <f>IF(A351&gt;TODAY(),"—",IF(SUM(B351:J351)=0,"⬜ ยังไม่บันทึก",IF(AND(D351&gt;=$S$4,IFERROR(B351/D351,0)&lt;=$S$5),"✅ ผ่าน","⚠️ ต้องปรับ")))</f>
        <v/>
      </c>
      <c r="P351" s="26" t="n"/>
    </row>
    <row r="352">
      <c r="A352" s="23" t="n">
        <v>46608</v>
      </c>
      <c r="B352" s="24" t="n"/>
      <c r="C352" s="24" t="n"/>
      <c r="D352" s="24" t="n"/>
      <c r="E352" s="24" t="n"/>
      <c r="F352" s="24" t="n"/>
      <c r="G352" s="24" t="n"/>
      <c r="H352" s="24" t="n"/>
      <c r="I352" s="24" t="n"/>
      <c r="J352" s="24" t="n"/>
      <c r="K352" s="12">
        <f>I352-B352-J352</f>
        <v/>
      </c>
      <c r="L352" s="12">
        <f>IFERROR(B352/C352,"")</f>
        <v/>
      </c>
      <c r="M352" s="12">
        <f>IFERROR(B352/D352,"")</f>
        <v/>
      </c>
      <c r="N352" s="12">
        <f>ROUND(I352*$S$6,0)</f>
        <v/>
      </c>
      <c r="O352" s="25">
        <f>IF(A352&gt;TODAY(),"—",IF(SUM(B352:J352)=0,"⬜ ยังไม่บันทึก",IF(AND(D352&gt;=$S$4,IFERROR(B352/D352,0)&lt;=$S$5),"✅ ผ่าน","⚠️ ต้องปรับ")))</f>
        <v/>
      </c>
      <c r="P352" s="26" t="n"/>
    </row>
    <row r="353">
      <c r="A353" s="23" t="n">
        <v>46609</v>
      </c>
      <c r="B353" s="24" t="n"/>
      <c r="C353" s="24" t="n"/>
      <c r="D353" s="24" t="n"/>
      <c r="E353" s="24" t="n"/>
      <c r="F353" s="24" t="n"/>
      <c r="G353" s="24" t="n"/>
      <c r="H353" s="24" t="n"/>
      <c r="I353" s="24" t="n"/>
      <c r="J353" s="24" t="n"/>
      <c r="K353" s="12">
        <f>I353-B353-J353</f>
        <v/>
      </c>
      <c r="L353" s="12">
        <f>IFERROR(B353/C353,"")</f>
        <v/>
      </c>
      <c r="M353" s="12">
        <f>IFERROR(B353/D353,"")</f>
        <v/>
      </c>
      <c r="N353" s="12">
        <f>ROUND(I353*$S$6,0)</f>
        <v/>
      </c>
      <c r="O353" s="25">
        <f>IF(A353&gt;TODAY(),"—",IF(SUM(B353:J353)=0,"⬜ ยังไม่บันทึก",IF(AND(D353&gt;=$S$4,IFERROR(B353/D353,0)&lt;=$S$5),"✅ ผ่าน","⚠️ ต้องปรับ")))</f>
        <v/>
      </c>
      <c r="P353" s="26" t="n"/>
    </row>
    <row r="354">
      <c r="A354" s="23" t="n">
        <v>46610</v>
      </c>
      <c r="B354" s="24" t="n"/>
      <c r="C354" s="24" t="n"/>
      <c r="D354" s="24" t="n"/>
      <c r="E354" s="24" t="n"/>
      <c r="F354" s="24" t="n"/>
      <c r="G354" s="24" t="n"/>
      <c r="H354" s="24" t="n"/>
      <c r="I354" s="24" t="n"/>
      <c r="J354" s="24" t="n"/>
      <c r="K354" s="12">
        <f>I354-B354-J354</f>
        <v/>
      </c>
      <c r="L354" s="12">
        <f>IFERROR(B354/C354,"")</f>
        <v/>
      </c>
      <c r="M354" s="12">
        <f>IFERROR(B354/D354,"")</f>
        <v/>
      </c>
      <c r="N354" s="12">
        <f>ROUND(I354*$S$6,0)</f>
        <v/>
      </c>
      <c r="O354" s="25">
        <f>IF(A354&gt;TODAY(),"—",IF(SUM(B354:J354)=0,"⬜ ยังไม่บันทึก",IF(AND(D354&gt;=$S$4,IFERROR(B354/D354,0)&lt;=$S$5),"✅ ผ่าน","⚠️ ต้องปรับ")))</f>
        <v/>
      </c>
      <c r="P354" s="26" t="n"/>
    </row>
    <row r="355">
      <c r="A355" s="23" t="n">
        <v>46611</v>
      </c>
      <c r="B355" s="24" t="n"/>
      <c r="C355" s="24" t="n"/>
      <c r="D355" s="24" t="n"/>
      <c r="E355" s="24" t="n"/>
      <c r="F355" s="24" t="n"/>
      <c r="G355" s="24" t="n"/>
      <c r="H355" s="24" t="n"/>
      <c r="I355" s="24" t="n"/>
      <c r="J355" s="24" t="n"/>
      <c r="K355" s="12">
        <f>I355-B355-J355</f>
        <v/>
      </c>
      <c r="L355" s="12">
        <f>IFERROR(B355/C355,"")</f>
        <v/>
      </c>
      <c r="M355" s="12">
        <f>IFERROR(B355/D355,"")</f>
        <v/>
      </c>
      <c r="N355" s="12">
        <f>ROUND(I355*$S$6,0)</f>
        <v/>
      </c>
      <c r="O355" s="25">
        <f>IF(A355&gt;TODAY(),"—",IF(SUM(B355:J355)=0,"⬜ ยังไม่บันทึก",IF(AND(D355&gt;=$S$4,IFERROR(B355/D355,0)&lt;=$S$5),"✅ ผ่าน","⚠️ ต้องปรับ")))</f>
        <v/>
      </c>
      <c r="P355" s="26" t="n"/>
    </row>
    <row r="356">
      <c r="A356" s="23" t="n">
        <v>46612</v>
      </c>
      <c r="B356" s="24" t="n"/>
      <c r="C356" s="24" t="n"/>
      <c r="D356" s="24" t="n"/>
      <c r="E356" s="24" t="n"/>
      <c r="F356" s="24" t="n"/>
      <c r="G356" s="24" t="n"/>
      <c r="H356" s="24" t="n"/>
      <c r="I356" s="24" t="n"/>
      <c r="J356" s="24" t="n"/>
      <c r="K356" s="12">
        <f>I356-B356-J356</f>
        <v/>
      </c>
      <c r="L356" s="12">
        <f>IFERROR(B356/C356,"")</f>
        <v/>
      </c>
      <c r="M356" s="12">
        <f>IFERROR(B356/D356,"")</f>
        <v/>
      </c>
      <c r="N356" s="12">
        <f>ROUND(I356*$S$6,0)</f>
        <v/>
      </c>
      <c r="O356" s="25">
        <f>IF(A356&gt;TODAY(),"—",IF(SUM(B356:J356)=0,"⬜ ยังไม่บันทึก",IF(AND(D356&gt;=$S$4,IFERROR(B356/D356,0)&lt;=$S$5),"✅ ผ่าน","⚠️ ต้องปรับ")))</f>
        <v/>
      </c>
      <c r="P356" s="26" t="n"/>
    </row>
    <row r="357">
      <c r="A357" s="23" t="n">
        <v>46613</v>
      </c>
      <c r="B357" s="24" t="n"/>
      <c r="C357" s="24" t="n"/>
      <c r="D357" s="24" t="n"/>
      <c r="E357" s="24" t="n"/>
      <c r="F357" s="24" t="n"/>
      <c r="G357" s="24" t="n"/>
      <c r="H357" s="24" t="n"/>
      <c r="I357" s="24" t="n"/>
      <c r="J357" s="24" t="n"/>
      <c r="K357" s="12">
        <f>I357-B357-J357</f>
        <v/>
      </c>
      <c r="L357" s="12">
        <f>IFERROR(B357/C357,"")</f>
        <v/>
      </c>
      <c r="M357" s="12">
        <f>IFERROR(B357/D357,"")</f>
        <v/>
      </c>
      <c r="N357" s="12">
        <f>ROUND(I357*$S$6,0)</f>
        <v/>
      </c>
      <c r="O357" s="25">
        <f>IF(A357&gt;TODAY(),"—",IF(SUM(B357:J357)=0,"⬜ ยังไม่บันทึก",IF(AND(D357&gt;=$S$4,IFERROR(B357/D357,0)&lt;=$S$5),"✅ ผ่าน","⚠️ ต้องปรับ")))</f>
        <v/>
      </c>
      <c r="P357" s="26" t="n"/>
    </row>
    <row r="358">
      <c r="A358" s="23" t="n">
        <v>46614</v>
      </c>
      <c r="B358" s="24" t="n"/>
      <c r="C358" s="24" t="n"/>
      <c r="D358" s="24" t="n"/>
      <c r="E358" s="24" t="n"/>
      <c r="F358" s="24" t="n"/>
      <c r="G358" s="24" t="n"/>
      <c r="H358" s="24" t="n"/>
      <c r="I358" s="24" t="n"/>
      <c r="J358" s="24" t="n"/>
      <c r="K358" s="12">
        <f>I358-B358-J358</f>
        <v/>
      </c>
      <c r="L358" s="12">
        <f>IFERROR(B358/C358,"")</f>
        <v/>
      </c>
      <c r="M358" s="12">
        <f>IFERROR(B358/D358,"")</f>
        <v/>
      </c>
      <c r="N358" s="12">
        <f>ROUND(I358*$S$6,0)</f>
        <v/>
      </c>
      <c r="O358" s="25">
        <f>IF(A358&gt;TODAY(),"—",IF(SUM(B358:J358)=0,"⬜ ยังไม่บันทึก",IF(AND(D358&gt;=$S$4,IFERROR(B358/D358,0)&lt;=$S$5),"✅ ผ่าน","⚠️ ต้องปรับ")))</f>
        <v/>
      </c>
      <c r="P358" s="26" t="n"/>
    </row>
    <row r="359">
      <c r="A359" s="23" t="n">
        <v>46615</v>
      </c>
      <c r="B359" s="24" t="n"/>
      <c r="C359" s="24" t="n"/>
      <c r="D359" s="24" t="n"/>
      <c r="E359" s="24" t="n"/>
      <c r="F359" s="24" t="n"/>
      <c r="G359" s="24" t="n"/>
      <c r="H359" s="24" t="n"/>
      <c r="I359" s="24" t="n"/>
      <c r="J359" s="24" t="n"/>
      <c r="K359" s="12">
        <f>I359-B359-J359</f>
        <v/>
      </c>
      <c r="L359" s="12">
        <f>IFERROR(B359/C359,"")</f>
        <v/>
      </c>
      <c r="M359" s="12">
        <f>IFERROR(B359/D359,"")</f>
        <v/>
      </c>
      <c r="N359" s="12">
        <f>ROUND(I359*$S$6,0)</f>
        <v/>
      </c>
      <c r="O359" s="25">
        <f>IF(A359&gt;TODAY(),"—",IF(SUM(B359:J359)=0,"⬜ ยังไม่บันทึก",IF(AND(D359&gt;=$S$4,IFERROR(B359/D359,0)&lt;=$S$5),"✅ ผ่าน","⚠️ ต้องปรับ")))</f>
        <v/>
      </c>
      <c r="P359" s="26" t="n"/>
    </row>
    <row r="360">
      <c r="A360" s="23" t="n">
        <v>46616</v>
      </c>
      <c r="B360" s="24" t="n"/>
      <c r="C360" s="24" t="n"/>
      <c r="D360" s="24" t="n"/>
      <c r="E360" s="24" t="n"/>
      <c r="F360" s="24" t="n"/>
      <c r="G360" s="24" t="n"/>
      <c r="H360" s="24" t="n"/>
      <c r="I360" s="24" t="n"/>
      <c r="J360" s="24" t="n"/>
      <c r="K360" s="12">
        <f>I360-B360-J360</f>
        <v/>
      </c>
      <c r="L360" s="12">
        <f>IFERROR(B360/C360,"")</f>
        <v/>
      </c>
      <c r="M360" s="12">
        <f>IFERROR(B360/D360,"")</f>
        <v/>
      </c>
      <c r="N360" s="12">
        <f>ROUND(I360*$S$6,0)</f>
        <v/>
      </c>
      <c r="O360" s="25">
        <f>IF(A360&gt;TODAY(),"—",IF(SUM(B360:J360)=0,"⬜ ยังไม่บันทึก",IF(AND(D360&gt;=$S$4,IFERROR(B360/D360,0)&lt;=$S$5),"✅ ผ่าน","⚠️ ต้องปรับ")))</f>
        <v/>
      </c>
      <c r="P360" s="26" t="n"/>
    </row>
    <row r="361">
      <c r="A361" s="23" t="n">
        <v>46617</v>
      </c>
      <c r="B361" s="24" t="n"/>
      <c r="C361" s="24" t="n"/>
      <c r="D361" s="24" t="n"/>
      <c r="E361" s="24" t="n"/>
      <c r="F361" s="24" t="n"/>
      <c r="G361" s="24" t="n"/>
      <c r="H361" s="24" t="n"/>
      <c r="I361" s="24" t="n"/>
      <c r="J361" s="24" t="n"/>
      <c r="K361" s="12">
        <f>I361-B361-J361</f>
        <v/>
      </c>
      <c r="L361" s="12">
        <f>IFERROR(B361/C361,"")</f>
        <v/>
      </c>
      <c r="M361" s="12">
        <f>IFERROR(B361/D361,"")</f>
        <v/>
      </c>
      <c r="N361" s="12">
        <f>ROUND(I361*$S$6,0)</f>
        <v/>
      </c>
      <c r="O361" s="25">
        <f>IF(A361&gt;TODAY(),"—",IF(SUM(B361:J361)=0,"⬜ ยังไม่บันทึก",IF(AND(D361&gt;=$S$4,IFERROR(B361/D361,0)&lt;=$S$5),"✅ ผ่าน","⚠️ ต้องปรับ")))</f>
        <v/>
      </c>
      <c r="P361" s="26" t="n"/>
    </row>
    <row r="362">
      <c r="A362" s="23" t="n">
        <v>46618</v>
      </c>
      <c r="B362" s="24" t="n"/>
      <c r="C362" s="24" t="n"/>
      <c r="D362" s="24" t="n"/>
      <c r="E362" s="24" t="n"/>
      <c r="F362" s="24" t="n"/>
      <c r="G362" s="24" t="n"/>
      <c r="H362" s="24" t="n"/>
      <c r="I362" s="24" t="n"/>
      <c r="J362" s="24" t="n"/>
      <c r="K362" s="12">
        <f>I362-B362-J362</f>
        <v/>
      </c>
      <c r="L362" s="12">
        <f>IFERROR(B362/C362,"")</f>
        <v/>
      </c>
      <c r="M362" s="12">
        <f>IFERROR(B362/D362,"")</f>
        <v/>
      </c>
      <c r="N362" s="12">
        <f>ROUND(I362*$S$6,0)</f>
        <v/>
      </c>
      <c r="O362" s="25">
        <f>IF(A362&gt;TODAY(),"—",IF(SUM(B362:J362)=0,"⬜ ยังไม่บันทึก",IF(AND(D362&gt;=$S$4,IFERROR(B362/D362,0)&lt;=$S$5),"✅ ผ่าน","⚠️ ต้องปรับ")))</f>
        <v/>
      </c>
      <c r="P362" s="26" t="n"/>
    </row>
    <row r="363">
      <c r="A363" s="23" t="n">
        <v>46619</v>
      </c>
      <c r="B363" s="24" t="n"/>
      <c r="C363" s="24" t="n"/>
      <c r="D363" s="24" t="n"/>
      <c r="E363" s="24" t="n"/>
      <c r="F363" s="24" t="n"/>
      <c r="G363" s="24" t="n"/>
      <c r="H363" s="24" t="n"/>
      <c r="I363" s="24" t="n"/>
      <c r="J363" s="24" t="n"/>
      <c r="K363" s="12">
        <f>I363-B363-J363</f>
        <v/>
      </c>
      <c r="L363" s="12">
        <f>IFERROR(B363/C363,"")</f>
        <v/>
      </c>
      <c r="M363" s="12">
        <f>IFERROR(B363/D363,"")</f>
        <v/>
      </c>
      <c r="N363" s="12">
        <f>ROUND(I363*$S$6,0)</f>
        <v/>
      </c>
      <c r="O363" s="25">
        <f>IF(A363&gt;TODAY(),"—",IF(SUM(B363:J363)=0,"⬜ ยังไม่บันทึก",IF(AND(D363&gt;=$S$4,IFERROR(B363/D363,0)&lt;=$S$5),"✅ ผ่าน","⚠️ ต้องปรับ")))</f>
        <v/>
      </c>
      <c r="P363" s="26" t="n"/>
    </row>
    <row r="364">
      <c r="A364" s="23" t="n">
        <v>46620</v>
      </c>
      <c r="B364" s="24" t="n"/>
      <c r="C364" s="24" t="n"/>
      <c r="D364" s="24" t="n"/>
      <c r="E364" s="24" t="n"/>
      <c r="F364" s="24" t="n"/>
      <c r="G364" s="24" t="n"/>
      <c r="H364" s="24" t="n"/>
      <c r="I364" s="24" t="n"/>
      <c r="J364" s="24" t="n"/>
      <c r="K364" s="12">
        <f>I364-B364-J364</f>
        <v/>
      </c>
      <c r="L364" s="12">
        <f>IFERROR(B364/C364,"")</f>
        <v/>
      </c>
      <c r="M364" s="12">
        <f>IFERROR(B364/D364,"")</f>
        <v/>
      </c>
      <c r="N364" s="12">
        <f>ROUND(I364*$S$6,0)</f>
        <v/>
      </c>
      <c r="O364" s="25">
        <f>IF(A364&gt;TODAY(),"—",IF(SUM(B364:J364)=0,"⬜ ยังไม่บันทึก",IF(AND(D364&gt;=$S$4,IFERROR(B364/D364,0)&lt;=$S$5),"✅ ผ่าน","⚠️ ต้องปรับ")))</f>
        <v/>
      </c>
      <c r="P364" s="26" t="n"/>
    </row>
    <row r="365">
      <c r="A365" s="23" t="n">
        <v>46621</v>
      </c>
      <c r="B365" s="24" t="n"/>
      <c r="C365" s="24" t="n"/>
      <c r="D365" s="24" t="n"/>
      <c r="E365" s="24" t="n"/>
      <c r="F365" s="24" t="n"/>
      <c r="G365" s="24" t="n"/>
      <c r="H365" s="24" t="n"/>
      <c r="I365" s="24" t="n"/>
      <c r="J365" s="24" t="n"/>
      <c r="K365" s="12">
        <f>I365-B365-J365</f>
        <v/>
      </c>
      <c r="L365" s="12">
        <f>IFERROR(B365/C365,"")</f>
        <v/>
      </c>
      <c r="M365" s="12">
        <f>IFERROR(B365/D365,"")</f>
        <v/>
      </c>
      <c r="N365" s="12">
        <f>ROUND(I365*$S$6,0)</f>
        <v/>
      </c>
      <c r="O365" s="25">
        <f>IF(A365&gt;TODAY(),"—",IF(SUM(B365:J365)=0,"⬜ ยังไม่บันทึก",IF(AND(D365&gt;=$S$4,IFERROR(B365/D365,0)&lt;=$S$5),"✅ ผ่าน","⚠️ ต้องปรับ")))</f>
        <v/>
      </c>
      <c r="P365" s="26" t="n"/>
    </row>
    <row r="366">
      <c r="A366" s="23" t="n">
        <v>46622</v>
      </c>
      <c r="B366" s="24" t="n"/>
      <c r="C366" s="24" t="n"/>
      <c r="D366" s="24" t="n"/>
      <c r="E366" s="24" t="n"/>
      <c r="F366" s="24" t="n"/>
      <c r="G366" s="24" t="n"/>
      <c r="H366" s="24" t="n"/>
      <c r="I366" s="24" t="n"/>
      <c r="J366" s="24" t="n"/>
      <c r="K366" s="12">
        <f>I366-B366-J366</f>
        <v/>
      </c>
      <c r="L366" s="12">
        <f>IFERROR(B366/C366,"")</f>
        <v/>
      </c>
      <c r="M366" s="12">
        <f>IFERROR(B366/D366,"")</f>
        <v/>
      </c>
      <c r="N366" s="12">
        <f>ROUND(I366*$S$6,0)</f>
        <v/>
      </c>
      <c r="O366" s="25">
        <f>IF(A366&gt;TODAY(),"—",IF(SUM(B366:J366)=0,"⬜ ยังไม่บันทึก",IF(AND(D366&gt;=$S$4,IFERROR(B366/D366,0)&lt;=$S$5),"✅ ผ่าน","⚠️ ต้องปรับ")))</f>
        <v/>
      </c>
      <c r="P366" s="26" t="n"/>
    </row>
    <row r="367">
      <c r="A367" s="23" t="n">
        <v>46623</v>
      </c>
      <c r="B367" s="24" t="n"/>
      <c r="C367" s="24" t="n"/>
      <c r="D367" s="24" t="n"/>
      <c r="E367" s="24" t="n"/>
      <c r="F367" s="24" t="n"/>
      <c r="G367" s="24" t="n"/>
      <c r="H367" s="24" t="n"/>
      <c r="I367" s="24" t="n"/>
      <c r="J367" s="24" t="n"/>
      <c r="K367" s="12">
        <f>I367-B367-J367</f>
        <v/>
      </c>
      <c r="L367" s="12">
        <f>IFERROR(B367/C367,"")</f>
        <v/>
      </c>
      <c r="M367" s="12">
        <f>IFERROR(B367/D367,"")</f>
        <v/>
      </c>
      <c r="N367" s="12">
        <f>ROUND(I367*$S$6,0)</f>
        <v/>
      </c>
      <c r="O367" s="25">
        <f>IF(A367&gt;TODAY(),"—",IF(SUM(B367:J367)=0,"⬜ ยังไม่บันทึก",IF(AND(D367&gt;=$S$4,IFERROR(B367/D367,0)&lt;=$S$5),"✅ ผ่าน","⚠️ ต้องปรับ")))</f>
        <v/>
      </c>
      <c r="P367" s="26" t="n"/>
    </row>
    <row r="368">
      <c r="A368" s="23" t="n">
        <v>46624</v>
      </c>
      <c r="B368" s="24" t="n"/>
      <c r="C368" s="24" t="n"/>
      <c r="D368" s="24" t="n"/>
      <c r="E368" s="24" t="n"/>
      <c r="F368" s="24" t="n"/>
      <c r="G368" s="24" t="n"/>
      <c r="H368" s="24" t="n"/>
      <c r="I368" s="24" t="n"/>
      <c r="J368" s="24" t="n"/>
      <c r="K368" s="12">
        <f>I368-B368-J368</f>
        <v/>
      </c>
      <c r="L368" s="12">
        <f>IFERROR(B368/C368,"")</f>
        <v/>
      </c>
      <c r="M368" s="12">
        <f>IFERROR(B368/D368,"")</f>
        <v/>
      </c>
      <c r="N368" s="12">
        <f>ROUND(I368*$S$6,0)</f>
        <v/>
      </c>
      <c r="O368" s="25">
        <f>IF(A368&gt;TODAY(),"—",IF(SUM(B368:J368)=0,"⬜ ยังไม่บันทึก",IF(AND(D368&gt;=$S$4,IFERROR(B368/D368,0)&lt;=$S$5),"✅ ผ่าน","⚠️ ต้องปรับ")))</f>
        <v/>
      </c>
      <c r="P368" s="26" t="n"/>
    </row>
    <row r="369">
      <c r="A369" s="23" t="n">
        <v>46625</v>
      </c>
      <c r="B369" s="24" t="n"/>
      <c r="C369" s="24" t="n"/>
      <c r="D369" s="24" t="n"/>
      <c r="E369" s="24" t="n"/>
      <c r="F369" s="24" t="n"/>
      <c r="G369" s="24" t="n"/>
      <c r="H369" s="24" t="n"/>
      <c r="I369" s="24" t="n"/>
      <c r="J369" s="24" t="n"/>
      <c r="K369" s="12">
        <f>I369-B369-J369</f>
        <v/>
      </c>
      <c r="L369" s="12">
        <f>IFERROR(B369/C369,"")</f>
        <v/>
      </c>
      <c r="M369" s="12">
        <f>IFERROR(B369/D369,"")</f>
        <v/>
      </c>
      <c r="N369" s="12">
        <f>ROUND(I369*$S$6,0)</f>
        <v/>
      </c>
      <c r="O369" s="25">
        <f>IF(A369&gt;TODAY(),"—",IF(SUM(B369:J369)=0,"⬜ ยังไม่บันทึก",IF(AND(D369&gt;=$S$4,IFERROR(B369/D369,0)&lt;=$S$5),"✅ ผ่าน","⚠️ ต้องปรับ")))</f>
        <v/>
      </c>
      <c r="P369" s="26" t="n"/>
    </row>
    <row r="370">
      <c r="A370" s="23" t="n">
        <v>46626</v>
      </c>
      <c r="B370" s="24" t="n"/>
      <c r="C370" s="24" t="n"/>
      <c r="D370" s="24" t="n"/>
      <c r="E370" s="24" t="n"/>
      <c r="F370" s="24" t="n"/>
      <c r="G370" s="24" t="n"/>
      <c r="H370" s="24" t="n"/>
      <c r="I370" s="24" t="n"/>
      <c r="J370" s="24" t="n"/>
      <c r="K370" s="12">
        <f>I370-B370-J370</f>
        <v/>
      </c>
      <c r="L370" s="12">
        <f>IFERROR(B370/C370,"")</f>
        <v/>
      </c>
      <c r="M370" s="12">
        <f>IFERROR(B370/D370,"")</f>
        <v/>
      </c>
      <c r="N370" s="12">
        <f>ROUND(I370*$S$6,0)</f>
        <v/>
      </c>
      <c r="O370" s="25">
        <f>IF(A370&gt;TODAY(),"—",IF(SUM(B370:J370)=0,"⬜ ยังไม่บันทึก",IF(AND(D370&gt;=$S$4,IFERROR(B370/D370,0)&lt;=$S$5),"✅ ผ่าน","⚠️ ต้องปรับ")))</f>
        <v/>
      </c>
      <c r="P370" s="26" t="n"/>
    </row>
    <row r="371">
      <c r="A371" s="23" t="n">
        <v>46627</v>
      </c>
      <c r="B371" s="24" t="n"/>
      <c r="C371" s="24" t="n"/>
      <c r="D371" s="24" t="n"/>
      <c r="E371" s="24" t="n"/>
      <c r="F371" s="24" t="n"/>
      <c r="G371" s="24" t="n"/>
      <c r="H371" s="24" t="n"/>
      <c r="I371" s="24" t="n"/>
      <c r="J371" s="24" t="n"/>
      <c r="K371" s="12">
        <f>I371-B371-J371</f>
        <v/>
      </c>
      <c r="L371" s="12">
        <f>IFERROR(B371/C371,"")</f>
        <v/>
      </c>
      <c r="M371" s="12">
        <f>IFERROR(B371/D371,"")</f>
        <v/>
      </c>
      <c r="N371" s="12">
        <f>ROUND(I371*$S$6,0)</f>
        <v/>
      </c>
      <c r="O371" s="25">
        <f>IF(A371&gt;TODAY(),"—",IF(SUM(B371:J371)=0,"⬜ ยังไม่บันทึก",IF(AND(D371&gt;=$S$4,IFERROR(B371/D371,0)&lt;=$S$5),"✅ ผ่าน","⚠️ ต้องปรับ")))</f>
        <v/>
      </c>
      <c r="P371" s="26" t="n"/>
    </row>
    <row r="372">
      <c r="A372" s="23" t="n">
        <v>46628</v>
      </c>
      <c r="B372" s="24" t="n"/>
      <c r="C372" s="24" t="n"/>
      <c r="D372" s="24" t="n"/>
      <c r="E372" s="24" t="n"/>
      <c r="F372" s="24" t="n"/>
      <c r="G372" s="24" t="n"/>
      <c r="H372" s="24" t="n"/>
      <c r="I372" s="24" t="n"/>
      <c r="J372" s="24" t="n"/>
      <c r="K372" s="12">
        <f>I372-B372-J372</f>
        <v/>
      </c>
      <c r="L372" s="12">
        <f>IFERROR(B372/C372,"")</f>
        <v/>
      </c>
      <c r="M372" s="12">
        <f>IFERROR(B372/D372,"")</f>
        <v/>
      </c>
      <c r="N372" s="12">
        <f>ROUND(I372*$S$6,0)</f>
        <v/>
      </c>
      <c r="O372" s="25">
        <f>IF(A372&gt;TODAY(),"—",IF(SUM(B372:J372)=0,"⬜ ยังไม่บันทึก",IF(AND(D372&gt;=$S$4,IFERROR(B372/D372,0)&lt;=$S$5),"✅ ผ่าน","⚠️ ต้องปรับ")))</f>
        <v/>
      </c>
      <c r="P372" s="26" t="n"/>
    </row>
    <row r="373">
      <c r="A373" s="23" t="n">
        <v>46629</v>
      </c>
      <c r="B373" s="24" t="n"/>
      <c r="C373" s="24" t="n"/>
      <c r="D373" s="24" t="n"/>
      <c r="E373" s="24" t="n"/>
      <c r="F373" s="24" t="n"/>
      <c r="G373" s="24" t="n"/>
      <c r="H373" s="24" t="n"/>
      <c r="I373" s="24" t="n"/>
      <c r="J373" s="24" t="n"/>
      <c r="K373" s="12">
        <f>I373-B373-J373</f>
        <v/>
      </c>
      <c r="L373" s="12">
        <f>IFERROR(B373/C373,"")</f>
        <v/>
      </c>
      <c r="M373" s="12">
        <f>IFERROR(B373/D373,"")</f>
        <v/>
      </c>
      <c r="N373" s="12">
        <f>ROUND(I373*$S$6,0)</f>
        <v/>
      </c>
      <c r="O373" s="25">
        <f>IF(A373&gt;TODAY(),"—",IF(SUM(B373:J373)=0,"⬜ ยังไม่บันทึก",IF(AND(D373&gt;=$S$4,IFERROR(B373/D373,0)&lt;=$S$5),"✅ ผ่าน","⚠️ ต้องปรับ")))</f>
        <v/>
      </c>
      <c r="P373" s="26" t="n"/>
    </row>
  </sheetData>
  <autoFilter ref="A3:P373"/>
  <mergeCells count="2">
    <mergeCell ref="A1:P1"/>
    <mergeCell ref="A2:P2"/>
  </mergeCells>
  <conditionalFormatting sqref="A4:P373">
    <cfRule type="expression" priority="1" dxfId="2" stopIfTrue="0">
      <formula>$A4=TODAY()</formula>
    </cfRule>
    <cfRule type="expression" priority="2" dxfId="3">
      <formula>WEEKDAY($A4,2)&gt;5</formula>
    </cfRule>
  </conditionalFormatting>
  <conditionalFormatting sqref="M4:M373">
    <cfRule type="expression" priority="3" dxfId="1">
      <formula>AND($M4&lt;&gt;"",$M4&gt;$S$5)</formula>
    </cfRule>
    <cfRule type="expression" priority="4" dxfId="0">
      <formula>AND($M4&lt;&gt;"",$M4&lt;=$S$5)</formula>
    </cfRule>
  </conditionalFormatting>
  <conditionalFormatting sqref="K4:K373">
    <cfRule type="cellIs" priority="5" operator="lessThan" dxfId="4">
      <formula>0</formula>
    </cfRule>
  </conditionalFormatting>
  <conditionalFormatting sqref="O4:O373">
    <cfRule type="expression" priority="6" dxfId="0">
      <formula>ISNUMBER(SEARCH("✅",$O4))</formula>
    </cfRule>
    <cfRule type="expression" priority="7" dxfId="1">
      <formula>ISNUMBER(SEARCH("⚠️",$O4))</formula>
    </cfRule>
  </conditionalFormatting>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Q66"/>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6" customWidth="1" min="3" max="3"/>
    <col width="26" customWidth="1" min="4" max="4"/>
    <col width="14" customWidth="1" min="5" max="5"/>
    <col width="15" customWidth="1" min="6" max="6"/>
    <col width="11" customWidth="1" min="7" max="7"/>
    <col width="14" customWidth="1" min="8" max="8"/>
    <col width="16" customWidth="1" min="9" max="9"/>
    <col width="12" customWidth="1" min="10" max="10"/>
    <col width="12" customWidth="1" min="11" max="11"/>
    <col width="10" customWidth="1" min="12" max="12"/>
    <col width="30" customWidth="1" min="13" max="13"/>
    <col width="12" customWidth="1" min="14" max="14"/>
    <col width="16" customWidth="1" min="16" max="16"/>
    <col width="10" customWidth="1" min="17" max="17"/>
  </cols>
  <sheetData>
    <row r="1" ht="34" customHeight="1">
      <c r="A1" s="1" t="inlineStr">
        <is>
          <t>📦 ดีลในมือ — ท่อการขาย</t>
        </is>
      </c>
    </row>
    <row r="2" ht="30" customHeight="1">
      <c r="A2" s="2" t="inlineStr">
        <is>
          <t>ใส่ลูกค้าทุกคนที่ยังไม่ปิด · เลือกสถานะจากเมนู ระบบคำนวณโอกาสสำเร็จและมูลค่าถ่วงน้ำหนักให้ · ตัวอย่างแถว: D001 | คุณเอ | LINE OA | บ้านกลางเมือง ซอย 9 | 2900000 | นัดดูแล้ว | 26/08/2026</t>
        </is>
      </c>
    </row>
    <row r="3" ht="24" customHeight="1">
      <c r="A3" s="5" t="inlineStr">
        <is>
          <t>สรุปท่อการขาย ณ วันนี้</t>
        </is>
      </c>
    </row>
    <row r="4" ht="24" customHeight="1">
      <c r="A4" s="32" t="inlineStr">
        <is>
          <t>ดีลที่ยังเปิดอยู่</t>
        </is>
      </c>
      <c r="B4" s="33">
        <f>COUNTIFS($F$7:$F$66,"&lt;&gt;",$F$7:$F$66,"&lt;&gt;โอนแล้ว",$F$7:$F$66,"&lt;&gt;หลุด/ปิด")</f>
        <v/>
      </c>
      <c r="C4" s="32" t="inlineStr">
        <is>
          <t>มูลค่าคอมรวมในท่อ (บาท)</t>
        </is>
      </c>
      <c r="D4" s="34">
        <f>SUMIFS($H$7:$H$66,$F$7:$F$66,"&lt;&gt;โอนแล้ว",$F$7:$F$66,"&lt;&gt;หลุด/ปิด")</f>
        <v/>
      </c>
      <c r="E4" s="32" t="inlineStr">
        <is>
          <t>คาดว่าจะได้จริง — ถ่วงน้ำหนัก (บาท)</t>
        </is>
      </c>
      <c r="F4" s="34">
        <f>SUMIFS($I$7:$I$66,$F$7:$F$66,"&lt;&gt;โอนแล้ว",$F$7:$F$66,"&lt;&gt;หลุด/ปิด")</f>
        <v/>
      </c>
      <c r="G4" s="32" t="inlineStr">
        <is>
          <t>ปิดได้แล้วรวม (บาท)</t>
        </is>
      </c>
      <c r="H4" s="34">
        <f>SUMIFS($H$7:$H$66,$F$7:$F$66,"โอนแล้ว")</f>
        <v/>
      </c>
    </row>
    <row r="6" ht="32" customHeight="1">
      <c r="A6" s="22" t="inlineStr">
        <is>
          <t>รหัสดีล</t>
        </is>
      </c>
      <c r="B6" s="22" t="inlineStr">
        <is>
          <t>ชื่อลูกค้า</t>
        </is>
      </c>
      <c r="C6" s="22" t="inlineStr">
        <is>
          <t>ช่องทางที่มา</t>
        </is>
      </c>
      <c r="D6" s="22" t="inlineStr">
        <is>
          <t>ทรัพย์ / โครงการ</t>
        </is>
      </c>
      <c r="E6" s="22" t="inlineStr">
        <is>
          <t>ราคาทรัพย์
(บาท)</t>
        </is>
      </c>
      <c r="F6" s="22" t="inlineStr">
        <is>
          <t>สถานะ</t>
        </is>
      </c>
      <c r="G6" s="22" t="inlineStr">
        <is>
          <t>โอกาส
สำเร็จ</t>
        </is>
      </c>
      <c r="H6" s="22" t="inlineStr">
        <is>
          <t>คอมคาดหวัง
(บาท)</t>
        </is>
      </c>
      <c r="I6" s="22" t="inlineStr">
        <is>
          <t>มูลค่าถ่วงน้ำหนัก
(บาท)</t>
        </is>
      </c>
      <c r="J6" s="22" t="inlineStr">
        <is>
          <t>วันที่เริ่มคุย</t>
        </is>
      </c>
      <c r="K6" s="22" t="inlineStr">
        <is>
          <t>คาดว่าจะโอน</t>
        </is>
      </c>
      <c r="L6" s="22" t="inlineStr">
        <is>
          <t>อายุดีล
(วัน)</t>
        </is>
      </c>
      <c r="M6" s="22" t="inlineStr">
        <is>
          <t>ต้องทำอะไรต่อ</t>
        </is>
      </c>
      <c r="N6" s="22" t="inlineStr">
        <is>
          <t>อัปเดตล่าสุด</t>
        </is>
      </c>
      <c r="P6" s="6" t="inlineStr">
        <is>
          <t>สถานะ</t>
        </is>
      </c>
      <c r="Q6" s="10" t="inlineStr">
        <is>
          <t>โอกาส</t>
        </is>
      </c>
    </row>
    <row r="7">
      <c r="A7" s="35" t="n"/>
      <c r="B7" s="26" t="n"/>
      <c r="C7" s="26" t="n"/>
      <c r="D7" s="26" t="n"/>
      <c r="E7" s="24" t="n"/>
      <c r="F7" s="35" t="n"/>
      <c r="G7" s="36">
        <f>IFERROR(INDEX($Q$7:$Q$14,MATCH($F7,$P$7:$P$14,0)),"")</f>
        <v/>
      </c>
      <c r="H7" s="12">
        <f>IF($E7="","",ROUND($E7*'ตั้งค่า'!$C$6*(1-'ตั้งค่า'!$C$7),0))</f>
        <v/>
      </c>
      <c r="I7" s="12">
        <f>IFERROR(ROUND($H7*$G7,0),"")</f>
        <v/>
      </c>
      <c r="J7" s="37" t="n"/>
      <c r="K7" s="38">
        <f>IF($J7="","",$J7+'ตั้งค่า'!$C$15)</f>
        <v/>
      </c>
      <c r="L7" s="39">
        <f>IF($J7="","",TODAY()-$J7)</f>
        <v/>
      </c>
      <c r="M7" s="26" t="n"/>
      <c r="N7" s="37" t="n"/>
      <c r="P7" s="27" t="inlineStr">
        <is>
          <t>ทักเข้ามา</t>
        </is>
      </c>
      <c r="Q7" s="40" t="n">
        <v>0.05</v>
      </c>
    </row>
    <row r="8">
      <c r="A8" s="35" t="n"/>
      <c r="B8" s="26" t="n"/>
      <c r="C8" s="26" t="n"/>
      <c r="D8" s="26" t="n"/>
      <c r="E8" s="24" t="n"/>
      <c r="F8" s="35" t="n"/>
      <c r="G8" s="36">
        <f>IFERROR(INDEX($Q$7:$Q$14,MATCH($F8,$P$7:$P$14,0)),"")</f>
        <v/>
      </c>
      <c r="H8" s="12">
        <f>IF($E8="","",ROUND($E8*'ตั้งค่า'!$C$6*(1-'ตั้งค่า'!$C$7),0))</f>
        <v/>
      </c>
      <c r="I8" s="12">
        <f>IFERROR(ROUND($H8*$G8,0),"")</f>
        <v/>
      </c>
      <c r="J8" s="37" t="n"/>
      <c r="K8" s="38">
        <f>IF($J8="","",$J8+'ตั้งค่า'!$C$15)</f>
        <v/>
      </c>
      <c r="L8" s="39">
        <f>IF($J8="","",TODAY()-$J8)</f>
        <v/>
      </c>
      <c r="M8" s="26" t="n"/>
      <c r="N8" s="37" t="n"/>
      <c r="P8" s="27" t="inlineStr">
        <is>
          <t>คัดกรองแล้ว</t>
        </is>
      </c>
      <c r="Q8" s="40" t="n">
        <v>0.15</v>
      </c>
    </row>
    <row r="9">
      <c r="A9" s="35" t="n"/>
      <c r="B9" s="26" t="n"/>
      <c r="C9" s="26" t="n"/>
      <c r="D9" s="26" t="n"/>
      <c r="E9" s="24" t="n"/>
      <c r="F9" s="35" t="n"/>
      <c r="G9" s="36">
        <f>IFERROR(INDEX($Q$7:$Q$14,MATCH($F9,$P$7:$P$14,0)),"")</f>
        <v/>
      </c>
      <c r="H9" s="12">
        <f>IF($E9="","",ROUND($E9*'ตั้งค่า'!$C$6*(1-'ตั้งค่า'!$C$7),0))</f>
        <v/>
      </c>
      <c r="I9" s="12">
        <f>IFERROR(ROUND($H9*$G9,0),"")</f>
        <v/>
      </c>
      <c r="J9" s="37" t="n"/>
      <c r="K9" s="38">
        <f>IF($J9="","",$J9+'ตั้งค่า'!$C$15)</f>
        <v/>
      </c>
      <c r="L9" s="39">
        <f>IF($J9="","",TODAY()-$J9)</f>
        <v/>
      </c>
      <c r="M9" s="26" t="n"/>
      <c r="N9" s="37" t="n"/>
      <c r="P9" s="27" t="inlineStr">
        <is>
          <t>นัดดูแล้ว</t>
        </is>
      </c>
      <c r="Q9" s="40" t="n">
        <v>0.3</v>
      </c>
    </row>
    <row r="10">
      <c r="A10" s="35" t="n"/>
      <c r="B10" s="26" t="n"/>
      <c r="C10" s="26" t="n"/>
      <c r="D10" s="26" t="n"/>
      <c r="E10" s="24" t="n"/>
      <c r="F10" s="35" t="n"/>
      <c r="G10" s="36">
        <f>IFERROR(INDEX($Q$7:$Q$14,MATCH($F10,$P$7:$P$14,0)),"")</f>
        <v/>
      </c>
      <c r="H10" s="12">
        <f>IF($E10="","",ROUND($E10*'ตั้งค่า'!$C$6*(1-'ตั้งค่า'!$C$7),0))</f>
        <v/>
      </c>
      <c r="I10" s="12">
        <f>IFERROR(ROUND($H10*$G10,0),"")</f>
        <v/>
      </c>
      <c r="J10" s="37" t="n"/>
      <c r="K10" s="38">
        <f>IF($J10="","",$J10+'ตั้งค่า'!$C$15)</f>
        <v/>
      </c>
      <c r="L10" s="39">
        <f>IF($J10="","",TODAY()-$J10)</f>
        <v/>
      </c>
      <c r="M10" s="26" t="n"/>
      <c r="N10" s="37" t="n"/>
      <c r="P10" s="27" t="inlineStr">
        <is>
          <t>สนใจจริง</t>
        </is>
      </c>
      <c r="Q10" s="40" t="n">
        <v>0.45</v>
      </c>
    </row>
    <row r="11">
      <c r="A11" s="35" t="n"/>
      <c r="B11" s="26" t="n"/>
      <c r="C11" s="26" t="n"/>
      <c r="D11" s="26" t="n"/>
      <c r="E11" s="24" t="n"/>
      <c r="F11" s="35" t="n"/>
      <c r="G11" s="36">
        <f>IFERROR(INDEX($Q$7:$Q$14,MATCH($F11,$P$7:$P$14,0)),"")</f>
        <v/>
      </c>
      <c r="H11" s="12">
        <f>IF($E11="","",ROUND($E11*'ตั้งค่า'!$C$6*(1-'ตั้งค่า'!$C$7),0))</f>
        <v/>
      </c>
      <c r="I11" s="12">
        <f>IFERROR(ROUND($H11*$G11,0),"")</f>
        <v/>
      </c>
      <c r="J11" s="37" t="n"/>
      <c r="K11" s="38">
        <f>IF($J11="","",$J11+'ตั้งค่า'!$C$15)</f>
        <v/>
      </c>
      <c r="L11" s="39">
        <f>IF($J11="","",TODAY()-$J11)</f>
        <v/>
      </c>
      <c r="M11" s="26" t="n"/>
      <c r="N11" s="37" t="n"/>
      <c r="P11" s="27" t="inlineStr">
        <is>
          <t>ยื่นกู้แล้ว</t>
        </is>
      </c>
      <c r="Q11" s="40" t="n">
        <v>0.65</v>
      </c>
    </row>
    <row r="12">
      <c r="A12" s="35" t="n"/>
      <c r="B12" s="26" t="n"/>
      <c r="C12" s="26" t="n"/>
      <c r="D12" s="26" t="n"/>
      <c r="E12" s="24" t="n"/>
      <c r="F12" s="35" t="n"/>
      <c r="G12" s="36">
        <f>IFERROR(INDEX($Q$7:$Q$14,MATCH($F12,$P$7:$P$14,0)),"")</f>
        <v/>
      </c>
      <c r="H12" s="12">
        <f>IF($E12="","",ROUND($E12*'ตั้งค่า'!$C$6*(1-'ตั้งค่า'!$C$7),0))</f>
        <v/>
      </c>
      <c r="I12" s="12">
        <f>IFERROR(ROUND($H12*$G12,0),"")</f>
        <v/>
      </c>
      <c r="J12" s="37" t="n"/>
      <c r="K12" s="38">
        <f>IF($J12="","",$J12+'ตั้งค่า'!$C$15)</f>
        <v/>
      </c>
      <c r="L12" s="39">
        <f>IF($J12="","",TODAY()-$J12)</f>
        <v/>
      </c>
      <c r="M12" s="26" t="n"/>
      <c r="N12" s="37" t="n"/>
      <c r="P12" s="27" t="inlineStr">
        <is>
          <t>อนุมัติแล้ว</t>
        </is>
      </c>
      <c r="Q12" s="40" t="n">
        <v>0.85</v>
      </c>
    </row>
    <row r="13">
      <c r="A13" s="35" t="n"/>
      <c r="B13" s="26" t="n"/>
      <c r="C13" s="26" t="n"/>
      <c r="D13" s="26" t="n"/>
      <c r="E13" s="24" t="n"/>
      <c r="F13" s="35" t="n"/>
      <c r="G13" s="36">
        <f>IFERROR(INDEX($Q$7:$Q$14,MATCH($F13,$P$7:$P$14,0)),"")</f>
        <v/>
      </c>
      <c r="H13" s="12">
        <f>IF($E13="","",ROUND($E13*'ตั้งค่า'!$C$6*(1-'ตั้งค่า'!$C$7),0))</f>
        <v/>
      </c>
      <c r="I13" s="12">
        <f>IFERROR(ROUND($H13*$G13,0),"")</f>
        <v/>
      </c>
      <c r="J13" s="37" t="n"/>
      <c r="K13" s="38">
        <f>IF($J13="","",$J13+'ตั้งค่า'!$C$15)</f>
        <v/>
      </c>
      <c r="L13" s="39">
        <f>IF($J13="","",TODAY()-$J13)</f>
        <v/>
      </c>
      <c r="M13" s="26" t="n"/>
      <c r="N13" s="37" t="n"/>
      <c r="P13" s="27" t="inlineStr">
        <is>
          <t>โอนแล้ว</t>
        </is>
      </c>
      <c r="Q13" s="40" t="n">
        <v>1</v>
      </c>
    </row>
    <row r="14">
      <c r="A14" s="35" t="n"/>
      <c r="B14" s="26" t="n"/>
      <c r="C14" s="26" t="n"/>
      <c r="D14" s="26" t="n"/>
      <c r="E14" s="24" t="n"/>
      <c r="F14" s="35" t="n"/>
      <c r="G14" s="36">
        <f>IFERROR(INDEX($Q$7:$Q$14,MATCH($F14,$P$7:$P$14,0)),"")</f>
        <v/>
      </c>
      <c r="H14" s="12">
        <f>IF($E14="","",ROUND($E14*'ตั้งค่า'!$C$6*(1-'ตั้งค่า'!$C$7),0))</f>
        <v/>
      </c>
      <c r="I14" s="12">
        <f>IFERROR(ROUND($H14*$G14,0),"")</f>
        <v/>
      </c>
      <c r="J14" s="37" t="n"/>
      <c r="K14" s="38">
        <f>IF($J14="","",$J14+'ตั้งค่า'!$C$15)</f>
        <v/>
      </c>
      <c r="L14" s="39">
        <f>IF($J14="","",TODAY()-$J14)</f>
        <v/>
      </c>
      <c r="M14" s="26" t="n"/>
      <c r="N14" s="37" t="n"/>
      <c r="P14" s="27" t="inlineStr">
        <is>
          <t>หลุด/ปิด</t>
        </is>
      </c>
      <c r="Q14" s="40" t="n">
        <v>0</v>
      </c>
    </row>
    <row r="15">
      <c r="A15" s="35" t="n"/>
      <c r="B15" s="26" t="n"/>
      <c r="C15" s="26" t="n"/>
      <c r="D15" s="26" t="n"/>
      <c r="E15" s="24" t="n"/>
      <c r="F15" s="35" t="n"/>
      <c r="G15" s="36">
        <f>IFERROR(INDEX($Q$7:$Q$14,MATCH($F15,$P$7:$P$14,0)),"")</f>
        <v/>
      </c>
      <c r="H15" s="12">
        <f>IF($E15="","",ROUND($E15*'ตั้งค่า'!$C$6*(1-'ตั้งค่า'!$C$7),0))</f>
        <v/>
      </c>
      <c r="I15" s="12">
        <f>IFERROR(ROUND($H15*$G15,0),"")</f>
        <v/>
      </c>
      <c r="J15" s="37" t="n"/>
      <c r="K15" s="38">
        <f>IF($J15="","",$J15+'ตั้งค่า'!$C$15)</f>
        <v/>
      </c>
      <c r="L15" s="39">
        <f>IF($J15="","",TODAY()-$J15)</f>
        <v/>
      </c>
      <c r="M15" s="26" t="n"/>
      <c r="N15" s="37" t="n"/>
    </row>
    <row r="16">
      <c r="A16" s="35" t="n"/>
      <c r="B16" s="26" t="n"/>
      <c r="C16" s="26" t="n"/>
      <c r="D16" s="26" t="n"/>
      <c r="E16" s="24" t="n"/>
      <c r="F16" s="35" t="n"/>
      <c r="G16" s="36">
        <f>IFERROR(INDEX($Q$7:$Q$14,MATCH($F16,$P$7:$P$14,0)),"")</f>
        <v/>
      </c>
      <c r="H16" s="12">
        <f>IF($E16="","",ROUND($E16*'ตั้งค่า'!$C$6*(1-'ตั้งค่า'!$C$7),0))</f>
        <v/>
      </c>
      <c r="I16" s="12">
        <f>IFERROR(ROUND($H16*$G16,0),"")</f>
        <v/>
      </c>
      <c r="J16" s="37" t="n"/>
      <c r="K16" s="38">
        <f>IF($J16="","",$J16+'ตั้งค่า'!$C$15)</f>
        <v/>
      </c>
      <c r="L16" s="39">
        <f>IF($J16="","",TODAY()-$J16)</f>
        <v/>
      </c>
      <c r="M16" s="26" t="n"/>
      <c r="N16" s="37" t="n"/>
      <c r="P16" s="32" t="inlineStr">
        <is>
          <t>เกณฑ์ดีลค้างนาน (วัน)</t>
        </is>
      </c>
      <c r="Q16" s="41">
        <f>ROUND('ตั้งค่า'!$C$15*1.5,0)</f>
        <v/>
      </c>
    </row>
    <row r="17">
      <c r="A17" s="35" t="n"/>
      <c r="B17" s="26" t="n"/>
      <c r="C17" s="26" t="n"/>
      <c r="D17" s="26" t="n"/>
      <c r="E17" s="24" t="n"/>
      <c r="F17" s="35" t="n"/>
      <c r="G17" s="36">
        <f>IFERROR(INDEX($Q$7:$Q$14,MATCH($F17,$P$7:$P$14,0)),"")</f>
        <v/>
      </c>
      <c r="H17" s="12">
        <f>IF($E17="","",ROUND($E17*'ตั้งค่า'!$C$6*(1-'ตั้งค่า'!$C$7),0))</f>
        <v/>
      </c>
      <c r="I17" s="12">
        <f>IFERROR(ROUND($H17*$G17,0),"")</f>
        <v/>
      </c>
      <c r="J17" s="37" t="n"/>
      <c r="K17" s="38">
        <f>IF($J17="","",$J17+'ตั้งค่า'!$C$15)</f>
        <v/>
      </c>
      <c r="L17" s="39">
        <f>IF($J17="","",TODAY()-$J17)</f>
        <v/>
      </c>
      <c r="M17" s="26" t="n"/>
      <c r="N17" s="37" t="n"/>
    </row>
    <row r="18">
      <c r="A18" s="35" t="n"/>
      <c r="B18" s="26" t="n"/>
      <c r="C18" s="26" t="n"/>
      <c r="D18" s="26" t="n"/>
      <c r="E18" s="24" t="n"/>
      <c r="F18" s="35" t="n"/>
      <c r="G18" s="36">
        <f>IFERROR(INDEX($Q$7:$Q$14,MATCH($F18,$P$7:$P$14,0)),"")</f>
        <v/>
      </c>
      <c r="H18" s="12">
        <f>IF($E18="","",ROUND($E18*'ตั้งค่า'!$C$6*(1-'ตั้งค่า'!$C$7),0))</f>
        <v/>
      </c>
      <c r="I18" s="12">
        <f>IFERROR(ROUND($H18*$G18,0),"")</f>
        <v/>
      </c>
      <c r="J18" s="37" t="n"/>
      <c r="K18" s="38">
        <f>IF($J18="","",$J18+'ตั้งค่า'!$C$15)</f>
        <v/>
      </c>
      <c r="L18" s="39">
        <f>IF($J18="","",TODAY()-$J18)</f>
        <v/>
      </c>
      <c r="M18" s="26" t="n"/>
      <c r="N18" s="37" t="n"/>
    </row>
    <row r="19">
      <c r="A19" s="35" t="n"/>
      <c r="B19" s="26" t="n"/>
      <c r="C19" s="26" t="n"/>
      <c r="D19" s="26" t="n"/>
      <c r="E19" s="24" t="n"/>
      <c r="F19" s="35" t="n"/>
      <c r="G19" s="36">
        <f>IFERROR(INDEX($Q$7:$Q$14,MATCH($F19,$P$7:$P$14,0)),"")</f>
        <v/>
      </c>
      <c r="H19" s="12">
        <f>IF($E19="","",ROUND($E19*'ตั้งค่า'!$C$6*(1-'ตั้งค่า'!$C$7),0))</f>
        <v/>
      </c>
      <c r="I19" s="12">
        <f>IFERROR(ROUND($H19*$G19,0),"")</f>
        <v/>
      </c>
      <c r="J19" s="37" t="n"/>
      <c r="K19" s="38">
        <f>IF($J19="","",$J19+'ตั้งค่า'!$C$15)</f>
        <v/>
      </c>
      <c r="L19" s="39">
        <f>IF($J19="","",TODAY()-$J19)</f>
        <v/>
      </c>
      <c r="M19" s="26" t="n"/>
      <c r="N19" s="37" t="n"/>
    </row>
    <row r="20">
      <c r="A20" s="35" t="n"/>
      <c r="B20" s="26" t="n"/>
      <c r="C20" s="26" t="n"/>
      <c r="D20" s="26" t="n"/>
      <c r="E20" s="24" t="n"/>
      <c r="F20" s="35" t="n"/>
      <c r="G20" s="36">
        <f>IFERROR(INDEX($Q$7:$Q$14,MATCH($F20,$P$7:$P$14,0)),"")</f>
        <v/>
      </c>
      <c r="H20" s="12">
        <f>IF($E20="","",ROUND($E20*'ตั้งค่า'!$C$6*(1-'ตั้งค่า'!$C$7),0))</f>
        <v/>
      </c>
      <c r="I20" s="12">
        <f>IFERROR(ROUND($H20*$G20,0),"")</f>
        <v/>
      </c>
      <c r="J20" s="37" t="n"/>
      <c r="K20" s="38">
        <f>IF($J20="","",$J20+'ตั้งค่า'!$C$15)</f>
        <v/>
      </c>
      <c r="L20" s="39">
        <f>IF($J20="","",TODAY()-$J20)</f>
        <v/>
      </c>
      <c r="M20" s="26" t="n"/>
      <c r="N20" s="37" t="n"/>
    </row>
    <row r="21">
      <c r="A21" s="35" t="n"/>
      <c r="B21" s="26" t="n"/>
      <c r="C21" s="26" t="n"/>
      <c r="D21" s="26" t="n"/>
      <c r="E21" s="24" t="n"/>
      <c r="F21" s="35" t="n"/>
      <c r="G21" s="36">
        <f>IFERROR(INDEX($Q$7:$Q$14,MATCH($F21,$P$7:$P$14,0)),"")</f>
        <v/>
      </c>
      <c r="H21" s="12">
        <f>IF($E21="","",ROUND($E21*'ตั้งค่า'!$C$6*(1-'ตั้งค่า'!$C$7),0))</f>
        <v/>
      </c>
      <c r="I21" s="12">
        <f>IFERROR(ROUND($H21*$G21,0),"")</f>
        <v/>
      </c>
      <c r="J21" s="37" t="n"/>
      <c r="K21" s="38">
        <f>IF($J21="","",$J21+'ตั้งค่า'!$C$15)</f>
        <v/>
      </c>
      <c r="L21" s="39">
        <f>IF($J21="","",TODAY()-$J21)</f>
        <v/>
      </c>
      <c r="M21" s="26" t="n"/>
      <c r="N21" s="37" t="n"/>
    </row>
    <row r="22">
      <c r="A22" s="35" t="n"/>
      <c r="B22" s="26" t="n"/>
      <c r="C22" s="26" t="n"/>
      <c r="D22" s="26" t="n"/>
      <c r="E22" s="24" t="n"/>
      <c r="F22" s="35" t="n"/>
      <c r="G22" s="36">
        <f>IFERROR(INDEX($Q$7:$Q$14,MATCH($F22,$P$7:$P$14,0)),"")</f>
        <v/>
      </c>
      <c r="H22" s="12">
        <f>IF($E22="","",ROUND($E22*'ตั้งค่า'!$C$6*(1-'ตั้งค่า'!$C$7),0))</f>
        <v/>
      </c>
      <c r="I22" s="12">
        <f>IFERROR(ROUND($H22*$G22,0),"")</f>
        <v/>
      </c>
      <c r="J22" s="37" t="n"/>
      <c r="K22" s="38">
        <f>IF($J22="","",$J22+'ตั้งค่า'!$C$15)</f>
        <v/>
      </c>
      <c r="L22" s="39">
        <f>IF($J22="","",TODAY()-$J22)</f>
        <v/>
      </c>
      <c r="M22" s="26" t="n"/>
      <c r="N22" s="37" t="n"/>
    </row>
    <row r="23">
      <c r="A23" s="35" t="n"/>
      <c r="B23" s="26" t="n"/>
      <c r="C23" s="26" t="n"/>
      <c r="D23" s="26" t="n"/>
      <c r="E23" s="24" t="n"/>
      <c r="F23" s="35" t="n"/>
      <c r="G23" s="36">
        <f>IFERROR(INDEX($Q$7:$Q$14,MATCH($F23,$P$7:$P$14,0)),"")</f>
        <v/>
      </c>
      <c r="H23" s="12">
        <f>IF($E23="","",ROUND($E23*'ตั้งค่า'!$C$6*(1-'ตั้งค่า'!$C$7),0))</f>
        <v/>
      </c>
      <c r="I23" s="12">
        <f>IFERROR(ROUND($H23*$G23,0),"")</f>
        <v/>
      </c>
      <c r="J23" s="37" t="n"/>
      <c r="K23" s="38">
        <f>IF($J23="","",$J23+'ตั้งค่า'!$C$15)</f>
        <v/>
      </c>
      <c r="L23" s="39">
        <f>IF($J23="","",TODAY()-$J23)</f>
        <v/>
      </c>
      <c r="M23" s="26" t="n"/>
      <c r="N23" s="37" t="n"/>
    </row>
    <row r="24">
      <c r="A24" s="35" t="n"/>
      <c r="B24" s="26" t="n"/>
      <c r="C24" s="26" t="n"/>
      <c r="D24" s="26" t="n"/>
      <c r="E24" s="24" t="n"/>
      <c r="F24" s="35" t="n"/>
      <c r="G24" s="36">
        <f>IFERROR(INDEX($Q$7:$Q$14,MATCH($F24,$P$7:$P$14,0)),"")</f>
        <v/>
      </c>
      <c r="H24" s="12">
        <f>IF($E24="","",ROUND($E24*'ตั้งค่า'!$C$6*(1-'ตั้งค่า'!$C$7),0))</f>
        <v/>
      </c>
      <c r="I24" s="12">
        <f>IFERROR(ROUND($H24*$G24,0),"")</f>
        <v/>
      </c>
      <c r="J24" s="37" t="n"/>
      <c r="K24" s="38">
        <f>IF($J24="","",$J24+'ตั้งค่า'!$C$15)</f>
        <v/>
      </c>
      <c r="L24" s="39">
        <f>IF($J24="","",TODAY()-$J24)</f>
        <v/>
      </c>
      <c r="M24" s="26" t="n"/>
      <c r="N24" s="37" t="n"/>
    </row>
    <row r="25">
      <c r="A25" s="35" t="n"/>
      <c r="B25" s="26" t="n"/>
      <c r="C25" s="26" t="n"/>
      <c r="D25" s="26" t="n"/>
      <c r="E25" s="24" t="n"/>
      <c r="F25" s="35" t="n"/>
      <c r="G25" s="36">
        <f>IFERROR(INDEX($Q$7:$Q$14,MATCH($F25,$P$7:$P$14,0)),"")</f>
        <v/>
      </c>
      <c r="H25" s="12">
        <f>IF($E25="","",ROUND($E25*'ตั้งค่า'!$C$6*(1-'ตั้งค่า'!$C$7),0))</f>
        <v/>
      </c>
      <c r="I25" s="12">
        <f>IFERROR(ROUND($H25*$G25,0),"")</f>
        <v/>
      </c>
      <c r="J25" s="37" t="n"/>
      <c r="K25" s="38">
        <f>IF($J25="","",$J25+'ตั้งค่า'!$C$15)</f>
        <v/>
      </c>
      <c r="L25" s="39">
        <f>IF($J25="","",TODAY()-$J25)</f>
        <v/>
      </c>
      <c r="M25" s="26" t="n"/>
      <c r="N25" s="37" t="n"/>
    </row>
    <row r="26">
      <c r="A26" s="35" t="n"/>
      <c r="B26" s="26" t="n"/>
      <c r="C26" s="26" t="n"/>
      <c r="D26" s="26" t="n"/>
      <c r="E26" s="24" t="n"/>
      <c r="F26" s="35" t="n"/>
      <c r="G26" s="36">
        <f>IFERROR(INDEX($Q$7:$Q$14,MATCH($F26,$P$7:$P$14,0)),"")</f>
        <v/>
      </c>
      <c r="H26" s="12">
        <f>IF($E26="","",ROUND($E26*'ตั้งค่า'!$C$6*(1-'ตั้งค่า'!$C$7),0))</f>
        <v/>
      </c>
      <c r="I26" s="12">
        <f>IFERROR(ROUND($H26*$G26,0),"")</f>
        <v/>
      </c>
      <c r="J26" s="37" t="n"/>
      <c r="K26" s="38">
        <f>IF($J26="","",$J26+'ตั้งค่า'!$C$15)</f>
        <v/>
      </c>
      <c r="L26" s="39">
        <f>IF($J26="","",TODAY()-$J26)</f>
        <v/>
      </c>
      <c r="M26" s="26" t="n"/>
      <c r="N26" s="37" t="n"/>
    </row>
    <row r="27">
      <c r="A27" s="35" t="n"/>
      <c r="B27" s="26" t="n"/>
      <c r="C27" s="26" t="n"/>
      <c r="D27" s="26" t="n"/>
      <c r="E27" s="24" t="n"/>
      <c r="F27" s="35" t="n"/>
      <c r="G27" s="36">
        <f>IFERROR(INDEX($Q$7:$Q$14,MATCH($F27,$P$7:$P$14,0)),"")</f>
        <v/>
      </c>
      <c r="H27" s="12">
        <f>IF($E27="","",ROUND($E27*'ตั้งค่า'!$C$6*(1-'ตั้งค่า'!$C$7),0))</f>
        <v/>
      </c>
      <c r="I27" s="12">
        <f>IFERROR(ROUND($H27*$G27,0),"")</f>
        <v/>
      </c>
      <c r="J27" s="37" t="n"/>
      <c r="K27" s="38">
        <f>IF($J27="","",$J27+'ตั้งค่า'!$C$15)</f>
        <v/>
      </c>
      <c r="L27" s="39">
        <f>IF($J27="","",TODAY()-$J27)</f>
        <v/>
      </c>
      <c r="M27" s="26" t="n"/>
      <c r="N27" s="37" t="n"/>
    </row>
    <row r="28">
      <c r="A28" s="35" t="n"/>
      <c r="B28" s="26" t="n"/>
      <c r="C28" s="26" t="n"/>
      <c r="D28" s="26" t="n"/>
      <c r="E28" s="24" t="n"/>
      <c r="F28" s="35" t="n"/>
      <c r="G28" s="36">
        <f>IFERROR(INDEX($Q$7:$Q$14,MATCH($F28,$P$7:$P$14,0)),"")</f>
        <v/>
      </c>
      <c r="H28" s="12">
        <f>IF($E28="","",ROUND($E28*'ตั้งค่า'!$C$6*(1-'ตั้งค่า'!$C$7),0))</f>
        <v/>
      </c>
      <c r="I28" s="12">
        <f>IFERROR(ROUND($H28*$G28,0),"")</f>
        <v/>
      </c>
      <c r="J28" s="37" t="n"/>
      <c r="K28" s="38">
        <f>IF($J28="","",$J28+'ตั้งค่า'!$C$15)</f>
        <v/>
      </c>
      <c r="L28" s="39">
        <f>IF($J28="","",TODAY()-$J28)</f>
        <v/>
      </c>
      <c r="M28" s="26" t="n"/>
      <c r="N28" s="37" t="n"/>
    </row>
    <row r="29">
      <c r="A29" s="35" t="n"/>
      <c r="B29" s="26" t="n"/>
      <c r="C29" s="26" t="n"/>
      <c r="D29" s="26" t="n"/>
      <c r="E29" s="24" t="n"/>
      <c r="F29" s="35" t="n"/>
      <c r="G29" s="36">
        <f>IFERROR(INDEX($Q$7:$Q$14,MATCH($F29,$P$7:$P$14,0)),"")</f>
        <v/>
      </c>
      <c r="H29" s="12">
        <f>IF($E29="","",ROUND($E29*'ตั้งค่า'!$C$6*(1-'ตั้งค่า'!$C$7),0))</f>
        <v/>
      </c>
      <c r="I29" s="12">
        <f>IFERROR(ROUND($H29*$G29,0),"")</f>
        <v/>
      </c>
      <c r="J29" s="37" t="n"/>
      <c r="K29" s="38">
        <f>IF($J29="","",$J29+'ตั้งค่า'!$C$15)</f>
        <v/>
      </c>
      <c r="L29" s="39">
        <f>IF($J29="","",TODAY()-$J29)</f>
        <v/>
      </c>
      <c r="M29" s="26" t="n"/>
      <c r="N29" s="37" t="n"/>
    </row>
    <row r="30">
      <c r="A30" s="35" t="n"/>
      <c r="B30" s="26" t="n"/>
      <c r="C30" s="26" t="n"/>
      <c r="D30" s="26" t="n"/>
      <c r="E30" s="24" t="n"/>
      <c r="F30" s="35" t="n"/>
      <c r="G30" s="36">
        <f>IFERROR(INDEX($Q$7:$Q$14,MATCH($F30,$P$7:$P$14,0)),"")</f>
        <v/>
      </c>
      <c r="H30" s="12">
        <f>IF($E30="","",ROUND($E30*'ตั้งค่า'!$C$6*(1-'ตั้งค่า'!$C$7),0))</f>
        <v/>
      </c>
      <c r="I30" s="12">
        <f>IFERROR(ROUND($H30*$G30,0),"")</f>
        <v/>
      </c>
      <c r="J30" s="37" t="n"/>
      <c r="K30" s="38">
        <f>IF($J30="","",$J30+'ตั้งค่า'!$C$15)</f>
        <v/>
      </c>
      <c r="L30" s="39">
        <f>IF($J30="","",TODAY()-$J30)</f>
        <v/>
      </c>
      <c r="M30" s="26" t="n"/>
      <c r="N30" s="37" t="n"/>
    </row>
    <row r="31">
      <c r="A31" s="35" t="n"/>
      <c r="B31" s="26" t="n"/>
      <c r="C31" s="26" t="n"/>
      <c r="D31" s="26" t="n"/>
      <c r="E31" s="24" t="n"/>
      <c r="F31" s="35" t="n"/>
      <c r="G31" s="36">
        <f>IFERROR(INDEX($Q$7:$Q$14,MATCH($F31,$P$7:$P$14,0)),"")</f>
        <v/>
      </c>
      <c r="H31" s="12">
        <f>IF($E31="","",ROUND($E31*'ตั้งค่า'!$C$6*(1-'ตั้งค่า'!$C$7),0))</f>
        <v/>
      </c>
      <c r="I31" s="12">
        <f>IFERROR(ROUND($H31*$G31,0),"")</f>
        <v/>
      </c>
      <c r="J31" s="37" t="n"/>
      <c r="K31" s="38">
        <f>IF($J31="","",$J31+'ตั้งค่า'!$C$15)</f>
        <v/>
      </c>
      <c r="L31" s="39">
        <f>IF($J31="","",TODAY()-$J31)</f>
        <v/>
      </c>
      <c r="M31" s="26" t="n"/>
      <c r="N31" s="37" t="n"/>
    </row>
    <row r="32">
      <c r="A32" s="35" t="n"/>
      <c r="B32" s="26" t="n"/>
      <c r="C32" s="26" t="n"/>
      <c r="D32" s="26" t="n"/>
      <c r="E32" s="24" t="n"/>
      <c r="F32" s="35" t="n"/>
      <c r="G32" s="36">
        <f>IFERROR(INDEX($Q$7:$Q$14,MATCH($F32,$P$7:$P$14,0)),"")</f>
        <v/>
      </c>
      <c r="H32" s="12">
        <f>IF($E32="","",ROUND($E32*'ตั้งค่า'!$C$6*(1-'ตั้งค่า'!$C$7),0))</f>
        <v/>
      </c>
      <c r="I32" s="12">
        <f>IFERROR(ROUND($H32*$G32,0),"")</f>
        <v/>
      </c>
      <c r="J32" s="37" t="n"/>
      <c r="K32" s="38">
        <f>IF($J32="","",$J32+'ตั้งค่า'!$C$15)</f>
        <v/>
      </c>
      <c r="L32" s="39">
        <f>IF($J32="","",TODAY()-$J32)</f>
        <v/>
      </c>
      <c r="M32" s="26" t="n"/>
      <c r="N32" s="37" t="n"/>
    </row>
    <row r="33">
      <c r="A33" s="35" t="n"/>
      <c r="B33" s="26" t="n"/>
      <c r="C33" s="26" t="n"/>
      <c r="D33" s="26" t="n"/>
      <c r="E33" s="24" t="n"/>
      <c r="F33" s="35" t="n"/>
      <c r="G33" s="36">
        <f>IFERROR(INDEX($Q$7:$Q$14,MATCH($F33,$P$7:$P$14,0)),"")</f>
        <v/>
      </c>
      <c r="H33" s="12">
        <f>IF($E33="","",ROUND($E33*'ตั้งค่า'!$C$6*(1-'ตั้งค่า'!$C$7),0))</f>
        <v/>
      </c>
      <c r="I33" s="12">
        <f>IFERROR(ROUND($H33*$G33,0),"")</f>
        <v/>
      </c>
      <c r="J33" s="37" t="n"/>
      <c r="K33" s="38">
        <f>IF($J33="","",$J33+'ตั้งค่า'!$C$15)</f>
        <v/>
      </c>
      <c r="L33" s="39">
        <f>IF($J33="","",TODAY()-$J33)</f>
        <v/>
      </c>
      <c r="M33" s="26" t="n"/>
      <c r="N33" s="37" t="n"/>
    </row>
    <row r="34">
      <c r="A34" s="35" t="n"/>
      <c r="B34" s="26" t="n"/>
      <c r="C34" s="26" t="n"/>
      <c r="D34" s="26" t="n"/>
      <c r="E34" s="24" t="n"/>
      <c r="F34" s="35" t="n"/>
      <c r="G34" s="36">
        <f>IFERROR(INDEX($Q$7:$Q$14,MATCH($F34,$P$7:$P$14,0)),"")</f>
        <v/>
      </c>
      <c r="H34" s="12">
        <f>IF($E34="","",ROUND($E34*'ตั้งค่า'!$C$6*(1-'ตั้งค่า'!$C$7),0))</f>
        <v/>
      </c>
      <c r="I34" s="12">
        <f>IFERROR(ROUND($H34*$G34,0),"")</f>
        <v/>
      </c>
      <c r="J34" s="37" t="n"/>
      <c r="K34" s="38">
        <f>IF($J34="","",$J34+'ตั้งค่า'!$C$15)</f>
        <v/>
      </c>
      <c r="L34" s="39">
        <f>IF($J34="","",TODAY()-$J34)</f>
        <v/>
      </c>
      <c r="M34" s="26" t="n"/>
      <c r="N34" s="37" t="n"/>
    </row>
    <row r="35">
      <c r="A35" s="35" t="n"/>
      <c r="B35" s="26" t="n"/>
      <c r="C35" s="26" t="n"/>
      <c r="D35" s="26" t="n"/>
      <c r="E35" s="24" t="n"/>
      <c r="F35" s="35" t="n"/>
      <c r="G35" s="36">
        <f>IFERROR(INDEX($Q$7:$Q$14,MATCH($F35,$P$7:$P$14,0)),"")</f>
        <v/>
      </c>
      <c r="H35" s="12">
        <f>IF($E35="","",ROUND($E35*'ตั้งค่า'!$C$6*(1-'ตั้งค่า'!$C$7),0))</f>
        <v/>
      </c>
      <c r="I35" s="12">
        <f>IFERROR(ROUND($H35*$G35,0),"")</f>
        <v/>
      </c>
      <c r="J35" s="37" t="n"/>
      <c r="K35" s="38">
        <f>IF($J35="","",$J35+'ตั้งค่า'!$C$15)</f>
        <v/>
      </c>
      <c r="L35" s="39">
        <f>IF($J35="","",TODAY()-$J35)</f>
        <v/>
      </c>
      <c r="M35" s="26" t="n"/>
      <c r="N35" s="37" t="n"/>
    </row>
    <row r="36">
      <c r="A36" s="35" t="n"/>
      <c r="B36" s="26" t="n"/>
      <c r="C36" s="26" t="n"/>
      <c r="D36" s="26" t="n"/>
      <c r="E36" s="24" t="n"/>
      <c r="F36" s="35" t="n"/>
      <c r="G36" s="36">
        <f>IFERROR(INDEX($Q$7:$Q$14,MATCH($F36,$P$7:$P$14,0)),"")</f>
        <v/>
      </c>
      <c r="H36" s="12">
        <f>IF($E36="","",ROUND($E36*'ตั้งค่า'!$C$6*(1-'ตั้งค่า'!$C$7),0))</f>
        <v/>
      </c>
      <c r="I36" s="12">
        <f>IFERROR(ROUND($H36*$G36,0),"")</f>
        <v/>
      </c>
      <c r="J36" s="37" t="n"/>
      <c r="K36" s="38">
        <f>IF($J36="","",$J36+'ตั้งค่า'!$C$15)</f>
        <v/>
      </c>
      <c r="L36" s="39">
        <f>IF($J36="","",TODAY()-$J36)</f>
        <v/>
      </c>
      <c r="M36" s="26" t="n"/>
      <c r="N36" s="37" t="n"/>
    </row>
    <row r="37">
      <c r="A37" s="35" t="n"/>
      <c r="B37" s="26" t="n"/>
      <c r="C37" s="26" t="n"/>
      <c r="D37" s="26" t="n"/>
      <c r="E37" s="24" t="n"/>
      <c r="F37" s="35" t="n"/>
      <c r="G37" s="36">
        <f>IFERROR(INDEX($Q$7:$Q$14,MATCH($F37,$P$7:$P$14,0)),"")</f>
        <v/>
      </c>
      <c r="H37" s="12">
        <f>IF($E37="","",ROUND($E37*'ตั้งค่า'!$C$6*(1-'ตั้งค่า'!$C$7),0))</f>
        <v/>
      </c>
      <c r="I37" s="12">
        <f>IFERROR(ROUND($H37*$G37,0),"")</f>
        <v/>
      </c>
      <c r="J37" s="37" t="n"/>
      <c r="K37" s="38">
        <f>IF($J37="","",$J37+'ตั้งค่า'!$C$15)</f>
        <v/>
      </c>
      <c r="L37" s="39">
        <f>IF($J37="","",TODAY()-$J37)</f>
        <v/>
      </c>
      <c r="M37" s="26" t="n"/>
      <c r="N37" s="37" t="n"/>
    </row>
    <row r="38">
      <c r="A38" s="35" t="n"/>
      <c r="B38" s="26" t="n"/>
      <c r="C38" s="26" t="n"/>
      <c r="D38" s="26" t="n"/>
      <c r="E38" s="24" t="n"/>
      <c r="F38" s="35" t="n"/>
      <c r="G38" s="36">
        <f>IFERROR(INDEX($Q$7:$Q$14,MATCH($F38,$P$7:$P$14,0)),"")</f>
        <v/>
      </c>
      <c r="H38" s="12">
        <f>IF($E38="","",ROUND($E38*'ตั้งค่า'!$C$6*(1-'ตั้งค่า'!$C$7),0))</f>
        <v/>
      </c>
      <c r="I38" s="12">
        <f>IFERROR(ROUND($H38*$G38,0),"")</f>
        <v/>
      </c>
      <c r="J38" s="37" t="n"/>
      <c r="K38" s="38">
        <f>IF($J38="","",$J38+'ตั้งค่า'!$C$15)</f>
        <v/>
      </c>
      <c r="L38" s="39">
        <f>IF($J38="","",TODAY()-$J38)</f>
        <v/>
      </c>
      <c r="M38" s="26" t="n"/>
      <c r="N38" s="37" t="n"/>
    </row>
    <row r="39">
      <c r="A39" s="35" t="n"/>
      <c r="B39" s="26" t="n"/>
      <c r="C39" s="26" t="n"/>
      <c r="D39" s="26" t="n"/>
      <c r="E39" s="24" t="n"/>
      <c r="F39" s="35" t="n"/>
      <c r="G39" s="36">
        <f>IFERROR(INDEX($Q$7:$Q$14,MATCH($F39,$P$7:$P$14,0)),"")</f>
        <v/>
      </c>
      <c r="H39" s="12">
        <f>IF($E39="","",ROUND($E39*'ตั้งค่า'!$C$6*(1-'ตั้งค่า'!$C$7),0))</f>
        <v/>
      </c>
      <c r="I39" s="12">
        <f>IFERROR(ROUND($H39*$G39,0),"")</f>
        <v/>
      </c>
      <c r="J39" s="37" t="n"/>
      <c r="K39" s="38">
        <f>IF($J39="","",$J39+'ตั้งค่า'!$C$15)</f>
        <v/>
      </c>
      <c r="L39" s="39">
        <f>IF($J39="","",TODAY()-$J39)</f>
        <v/>
      </c>
      <c r="M39" s="26" t="n"/>
      <c r="N39" s="37" t="n"/>
    </row>
    <row r="40">
      <c r="A40" s="35" t="n"/>
      <c r="B40" s="26" t="n"/>
      <c r="C40" s="26" t="n"/>
      <c r="D40" s="26" t="n"/>
      <c r="E40" s="24" t="n"/>
      <c r="F40" s="35" t="n"/>
      <c r="G40" s="36">
        <f>IFERROR(INDEX($Q$7:$Q$14,MATCH($F40,$P$7:$P$14,0)),"")</f>
        <v/>
      </c>
      <c r="H40" s="12">
        <f>IF($E40="","",ROUND($E40*'ตั้งค่า'!$C$6*(1-'ตั้งค่า'!$C$7),0))</f>
        <v/>
      </c>
      <c r="I40" s="12">
        <f>IFERROR(ROUND($H40*$G40,0),"")</f>
        <v/>
      </c>
      <c r="J40" s="37" t="n"/>
      <c r="K40" s="38">
        <f>IF($J40="","",$J40+'ตั้งค่า'!$C$15)</f>
        <v/>
      </c>
      <c r="L40" s="39">
        <f>IF($J40="","",TODAY()-$J40)</f>
        <v/>
      </c>
      <c r="M40" s="26" t="n"/>
      <c r="N40" s="37" t="n"/>
    </row>
    <row r="41">
      <c r="A41" s="35" t="n"/>
      <c r="B41" s="26" t="n"/>
      <c r="C41" s="26" t="n"/>
      <c r="D41" s="26" t="n"/>
      <c r="E41" s="24" t="n"/>
      <c r="F41" s="35" t="n"/>
      <c r="G41" s="36">
        <f>IFERROR(INDEX($Q$7:$Q$14,MATCH($F41,$P$7:$P$14,0)),"")</f>
        <v/>
      </c>
      <c r="H41" s="12">
        <f>IF($E41="","",ROUND($E41*'ตั้งค่า'!$C$6*(1-'ตั้งค่า'!$C$7),0))</f>
        <v/>
      </c>
      <c r="I41" s="12">
        <f>IFERROR(ROUND($H41*$G41,0),"")</f>
        <v/>
      </c>
      <c r="J41" s="37" t="n"/>
      <c r="K41" s="38">
        <f>IF($J41="","",$J41+'ตั้งค่า'!$C$15)</f>
        <v/>
      </c>
      <c r="L41" s="39">
        <f>IF($J41="","",TODAY()-$J41)</f>
        <v/>
      </c>
      <c r="M41" s="26" t="n"/>
      <c r="N41" s="37" t="n"/>
    </row>
    <row r="42">
      <c r="A42" s="35" t="n"/>
      <c r="B42" s="26" t="n"/>
      <c r="C42" s="26" t="n"/>
      <c r="D42" s="26" t="n"/>
      <c r="E42" s="24" t="n"/>
      <c r="F42" s="35" t="n"/>
      <c r="G42" s="36">
        <f>IFERROR(INDEX($Q$7:$Q$14,MATCH($F42,$P$7:$P$14,0)),"")</f>
        <v/>
      </c>
      <c r="H42" s="12">
        <f>IF($E42="","",ROUND($E42*'ตั้งค่า'!$C$6*(1-'ตั้งค่า'!$C$7),0))</f>
        <v/>
      </c>
      <c r="I42" s="12">
        <f>IFERROR(ROUND($H42*$G42,0),"")</f>
        <v/>
      </c>
      <c r="J42" s="37" t="n"/>
      <c r="K42" s="38">
        <f>IF($J42="","",$J42+'ตั้งค่า'!$C$15)</f>
        <v/>
      </c>
      <c r="L42" s="39">
        <f>IF($J42="","",TODAY()-$J42)</f>
        <v/>
      </c>
      <c r="M42" s="26" t="n"/>
      <c r="N42" s="37" t="n"/>
    </row>
    <row r="43">
      <c r="A43" s="35" t="n"/>
      <c r="B43" s="26" t="n"/>
      <c r="C43" s="26" t="n"/>
      <c r="D43" s="26" t="n"/>
      <c r="E43" s="24" t="n"/>
      <c r="F43" s="35" t="n"/>
      <c r="G43" s="36">
        <f>IFERROR(INDEX($Q$7:$Q$14,MATCH($F43,$P$7:$P$14,0)),"")</f>
        <v/>
      </c>
      <c r="H43" s="12">
        <f>IF($E43="","",ROUND($E43*'ตั้งค่า'!$C$6*(1-'ตั้งค่า'!$C$7),0))</f>
        <v/>
      </c>
      <c r="I43" s="12">
        <f>IFERROR(ROUND($H43*$G43,0),"")</f>
        <v/>
      </c>
      <c r="J43" s="37" t="n"/>
      <c r="K43" s="38">
        <f>IF($J43="","",$J43+'ตั้งค่า'!$C$15)</f>
        <v/>
      </c>
      <c r="L43" s="39">
        <f>IF($J43="","",TODAY()-$J43)</f>
        <v/>
      </c>
      <c r="M43" s="26" t="n"/>
      <c r="N43" s="37" t="n"/>
    </row>
    <row r="44">
      <c r="A44" s="35" t="n"/>
      <c r="B44" s="26" t="n"/>
      <c r="C44" s="26" t="n"/>
      <c r="D44" s="26" t="n"/>
      <c r="E44" s="24" t="n"/>
      <c r="F44" s="35" t="n"/>
      <c r="G44" s="36">
        <f>IFERROR(INDEX($Q$7:$Q$14,MATCH($F44,$P$7:$P$14,0)),"")</f>
        <v/>
      </c>
      <c r="H44" s="12">
        <f>IF($E44="","",ROUND($E44*'ตั้งค่า'!$C$6*(1-'ตั้งค่า'!$C$7),0))</f>
        <v/>
      </c>
      <c r="I44" s="12">
        <f>IFERROR(ROUND($H44*$G44,0),"")</f>
        <v/>
      </c>
      <c r="J44" s="37" t="n"/>
      <c r="K44" s="38">
        <f>IF($J44="","",$J44+'ตั้งค่า'!$C$15)</f>
        <v/>
      </c>
      <c r="L44" s="39">
        <f>IF($J44="","",TODAY()-$J44)</f>
        <v/>
      </c>
      <c r="M44" s="26" t="n"/>
      <c r="N44" s="37" t="n"/>
    </row>
    <row r="45">
      <c r="A45" s="35" t="n"/>
      <c r="B45" s="26" t="n"/>
      <c r="C45" s="26" t="n"/>
      <c r="D45" s="26" t="n"/>
      <c r="E45" s="24" t="n"/>
      <c r="F45" s="35" t="n"/>
      <c r="G45" s="36">
        <f>IFERROR(INDEX($Q$7:$Q$14,MATCH($F45,$P$7:$P$14,0)),"")</f>
        <v/>
      </c>
      <c r="H45" s="12">
        <f>IF($E45="","",ROUND($E45*'ตั้งค่า'!$C$6*(1-'ตั้งค่า'!$C$7),0))</f>
        <v/>
      </c>
      <c r="I45" s="12">
        <f>IFERROR(ROUND($H45*$G45,0),"")</f>
        <v/>
      </c>
      <c r="J45" s="37" t="n"/>
      <c r="K45" s="38">
        <f>IF($J45="","",$J45+'ตั้งค่า'!$C$15)</f>
        <v/>
      </c>
      <c r="L45" s="39">
        <f>IF($J45="","",TODAY()-$J45)</f>
        <v/>
      </c>
      <c r="M45" s="26" t="n"/>
      <c r="N45" s="37" t="n"/>
    </row>
    <row r="46">
      <c r="A46" s="35" t="n"/>
      <c r="B46" s="26" t="n"/>
      <c r="C46" s="26" t="n"/>
      <c r="D46" s="26" t="n"/>
      <c r="E46" s="24" t="n"/>
      <c r="F46" s="35" t="n"/>
      <c r="G46" s="36">
        <f>IFERROR(INDEX($Q$7:$Q$14,MATCH($F46,$P$7:$P$14,0)),"")</f>
        <v/>
      </c>
      <c r="H46" s="12">
        <f>IF($E46="","",ROUND($E46*'ตั้งค่า'!$C$6*(1-'ตั้งค่า'!$C$7),0))</f>
        <v/>
      </c>
      <c r="I46" s="12">
        <f>IFERROR(ROUND($H46*$G46,0),"")</f>
        <v/>
      </c>
      <c r="J46" s="37" t="n"/>
      <c r="K46" s="38">
        <f>IF($J46="","",$J46+'ตั้งค่า'!$C$15)</f>
        <v/>
      </c>
      <c r="L46" s="39">
        <f>IF($J46="","",TODAY()-$J46)</f>
        <v/>
      </c>
      <c r="M46" s="26" t="n"/>
      <c r="N46" s="37" t="n"/>
    </row>
    <row r="47">
      <c r="A47" s="35" t="n"/>
      <c r="B47" s="26" t="n"/>
      <c r="C47" s="26" t="n"/>
      <c r="D47" s="26" t="n"/>
      <c r="E47" s="24" t="n"/>
      <c r="F47" s="35" t="n"/>
      <c r="G47" s="36">
        <f>IFERROR(INDEX($Q$7:$Q$14,MATCH($F47,$P$7:$P$14,0)),"")</f>
        <v/>
      </c>
      <c r="H47" s="12">
        <f>IF($E47="","",ROUND($E47*'ตั้งค่า'!$C$6*(1-'ตั้งค่า'!$C$7),0))</f>
        <v/>
      </c>
      <c r="I47" s="12">
        <f>IFERROR(ROUND($H47*$G47,0),"")</f>
        <v/>
      </c>
      <c r="J47" s="37" t="n"/>
      <c r="K47" s="38">
        <f>IF($J47="","",$J47+'ตั้งค่า'!$C$15)</f>
        <v/>
      </c>
      <c r="L47" s="39">
        <f>IF($J47="","",TODAY()-$J47)</f>
        <v/>
      </c>
      <c r="M47" s="26" t="n"/>
      <c r="N47" s="37" t="n"/>
    </row>
    <row r="48">
      <c r="A48" s="35" t="n"/>
      <c r="B48" s="26" t="n"/>
      <c r="C48" s="26" t="n"/>
      <c r="D48" s="26" t="n"/>
      <c r="E48" s="24" t="n"/>
      <c r="F48" s="35" t="n"/>
      <c r="G48" s="36">
        <f>IFERROR(INDEX($Q$7:$Q$14,MATCH($F48,$P$7:$P$14,0)),"")</f>
        <v/>
      </c>
      <c r="H48" s="12">
        <f>IF($E48="","",ROUND($E48*'ตั้งค่า'!$C$6*(1-'ตั้งค่า'!$C$7),0))</f>
        <v/>
      </c>
      <c r="I48" s="12">
        <f>IFERROR(ROUND($H48*$G48,0),"")</f>
        <v/>
      </c>
      <c r="J48" s="37" t="n"/>
      <c r="K48" s="38">
        <f>IF($J48="","",$J48+'ตั้งค่า'!$C$15)</f>
        <v/>
      </c>
      <c r="L48" s="39">
        <f>IF($J48="","",TODAY()-$J48)</f>
        <v/>
      </c>
      <c r="M48" s="26" t="n"/>
      <c r="N48" s="37" t="n"/>
    </row>
    <row r="49">
      <c r="A49" s="35" t="n"/>
      <c r="B49" s="26" t="n"/>
      <c r="C49" s="26" t="n"/>
      <c r="D49" s="26" t="n"/>
      <c r="E49" s="24" t="n"/>
      <c r="F49" s="35" t="n"/>
      <c r="G49" s="36">
        <f>IFERROR(INDEX($Q$7:$Q$14,MATCH($F49,$P$7:$P$14,0)),"")</f>
        <v/>
      </c>
      <c r="H49" s="12">
        <f>IF($E49="","",ROUND($E49*'ตั้งค่า'!$C$6*(1-'ตั้งค่า'!$C$7),0))</f>
        <v/>
      </c>
      <c r="I49" s="12">
        <f>IFERROR(ROUND($H49*$G49,0),"")</f>
        <v/>
      </c>
      <c r="J49" s="37" t="n"/>
      <c r="K49" s="38">
        <f>IF($J49="","",$J49+'ตั้งค่า'!$C$15)</f>
        <v/>
      </c>
      <c r="L49" s="39">
        <f>IF($J49="","",TODAY()-$J49)</f>
        <v/>
      </c>
      <c r="M49" s="26" t="n"/>
      <c r="N49" s="37" t="n"/>
    </row>
    <row r="50">
      <c r="A50" s="35" t="n"/>
      <c r="B50" s="26" t="n"/>
      <c r="C50" s="26" t="n"/>
      <c r="D50" s="26" t="n"/>
      <c r="E50" s="24" t="n"/>
      <c r="F50" s="35" t="n"/>
      <c r="G50" s="36">
        <f>IFERROR(INDEX($Q$7:$Q$14,MATCH($F50,$P$7:$P$14,0)),"")</f>
        <v/>
      </c>
      <c r="H50" s="12">
        <f>IF($E50="","",ROUND($E50*'ตั้งค่า'!$C$6*(1-'ตั้งค่า'!$C$7),0))</f>
        <v/>
      </c>
      <c r="I50" s="12">
        <f>IFERROR(ROUND($H50*$G50,0),"")</f>
        <v/>
      </c>
      <c r="J50" s="37" t="n"/>
      <c r="K50" s="38">
        <f>IF($J50="","",$J50+'ตั้งค่า'!$C$15)</f>
        <v/>
      </c>
      <c r="L50" s="39">
        <f>IF($J50="","",TODAY()-$J50)</f>
        <v/>
      </c>
      <c r="M50" s="26" t="n"/>
      <c r="N50" s="37" t="n"/>
    </row>
    <row r="51">
      <c r="A51" s="35" t="n"/>
      <c r="B51" s="26" t="n"/>
      <c r="C51" s="26" t="n"/>
      <c r="D51" s="26" t="n"/>
      <c r="E51" s="24" t="n"/>
      <c r="F51" s="35" t="n"/>
      <c r="G51" s="36">
        <f>IFERROR(INDEX($Q$7:$Q$14,MATCH($F51,$P$7:$P$14,0)),"")</f>
        <v/>
      </c>
      <c r="H51" s="12">
        <f>IF($E51="","",ROUND($E51*'ตั้งค่า'!$C$6*(1-'ตั้งค่า'!$C$7),0))</f>
        <v/>
      </c>
      <c r="I51" s="12">
        <f>IFERROR(ROUND($H51*$G51,0),"")</f>
        <v/>
      </c>
      <c r="J51" s="37" t="n"/>
      <c r="K51" s="38">
        <f>IF($J51="","",$J51+'ตั้งค่า'!$C$15)</f>
        <v/>
      </c>
      <c r="L51" s="39">
        <f>IF($J51="","",TODAY()-$J51)</f>
        <v/>
      </c>
      <c r="M51" s="26" t="n"/>
      <c r="N51" s="37" t="n"/>
    </row>
    <row r="52">
      <c r="A52" s="35" t="n"/>
      <c r="B52" s="26" t="n"/>
      <c r="C52" s="26" t="n"/>
      <c r="D52" s="26" t="n"/>
      <c r="E52" s="24" t="n"/>
      <c r="F52" s="35" t="n"/>
      <c r="G52" s="36">
        <f>IFERROR(INDEX($Q$7:$Q$14,MATCH($F52,$P$7:$P$14,0)),"")</f>
        <v/>
      </c>
      <c r="H52" s="12">
        <f>IF($E52="","",ROUND($E52*'ตั้งค่า'!$C$6*(1-'ตั้งค่า'!$C$7),0))</f>
        <v/>
      </c>
      <c r="I52" s="12">
        <f>IFERROR(ROUND($H52*$G52,0),"")</f>
        <v/>
      </c>
      <c r="J52" s="37" t="n"/>
      <c r="K52" s="38">
        <f>IF($J52="","",$J52+'ตั้งค่า'!$C$15)</f>
        <v/>
      </c>
      <c r="L52" s="39">
        <f>IF($J52="","",TODAY()-$J52)</f>
        <v/>
      </c>
      <c r="M52" s="26" t="n"/>
      <c r="N52" s="37" t="n"/>
    </row>
    <row r="53">
      <c r="A53" s="35" t="n"/>
      <c r="B53" s="26" t="n"/>
      <c r="C53" s="26" t="n"/>
      <c r="D53" s="26" t="n"/>
      <c r="E53" s="24" t="n"/>
      <c r="F53" s="35" t="n"/>
      <c r="G53" s="36">
        <f>IFERROR(INDEX($Q$7:$Q$14,MATCH($F53,$P$7:$P$14,0)),"")</f>
        <v/>
      </c>
      <c r="H53" s="12">
        <f>IF($E53="","",ROUND($E53*'ตั้งค่า'!$C$6*(1-'ตั้งค่า'!$C$7),0))</f>
        <v/>
      </c>
      <c r="I53" s="12">
        <f>IFERROR(ROUND($H53*$G53,0),"")</f>
        <v/>
      </c>
      <c r="J53" s="37" t="n"/>
      <c r="K53" s="38">
        <f>IF($J53="","",$J53+'ตั้งค่า'!$C$15)</f>
        <v/>
      </c>
      <c r="L53" s="39">
        <f>IF($J53="","",TODAY()-$J53)</f>
        <v/>
      </c>
      <c r="M53" s="26" t="n"/>
      <c r="N53" s="37" t="n"/>
    </row>
    <row r="54">
      <c r="A54" s="35" t="n"/>
      <c r="B54" s="26" t="n"/>
      <c r="C54" s="26" t="n"/>
      <c r="D54" s="26" t="n"/>
      <c r="E54" s="24" t="n"/>
      <c r="F54" s="35" t="n"/>
      <c r="G54" s="36">
        <f>IFERROR(INDEX($Q$7:$Q$14,MATCH($F54,$P$7:$P$14,0)),"")</f>
        <v/>
      </c>
      <c r="H54" s="12">
        <f>IF($E54="","",ROUND($E54*'ตั้งค่า'!$C$6*(1-'ตั้งค่า'!$C$7),0))</f>
        <v/>
      </c>
      <c r="I54" s="12">
        <f>IFERROR(ROUND($H54*$G54,0),"")</f>
        <v/>
      </c>
      <c r="J54" s="37" t="n"/>
      <c r="K54" s="38">
        <f>IF($J54="","",$J54+'ตั้งค่า'!$C$15)</f>
        <v/>
      </c>
      <c r="L54" s="39">
        <f>IF($J54="","",TODAY()-$J54)</f>
        <v/>
      </c>
      <c r="M54" s="26" t="n"/>
      <c r="N54" s="37" t="n"/>
    </row>
    <row r="55">
      <c r="A55" s="35" t="n"/>
      <c r="B55" s="26" t="n"/>
      <c r="C55" s="26" t="n"/>
      <c r="D55" s="26" t="n"/>
      <c r="E55" s="24" t="n"/>
      <c r="F55" s="35" t="n"/>
      <c r="G55" s="36">
        <f>IFERROR(INDEX($Q$7:$Q$14,MATCH($F55,$P$7:$P$14,0)),"")</f>
        <v/>
      </c>
      <c r="H55" s="12">
        <f>IF($E55="","",ROUND($E55*'ตั้งค่า'!$C$6*(1-'ตั้งค่า'!$C$7),0))</f>
        <v/>
      </c>
      <c r="I55" s="12">
        <f>IFERROR(ROUND($H55*$G55,0),"")</f>
        <v/>
      </c>
      <c r="J55" s="37" t="n"/>
      <c r="K55" s="38">
        <f>IF($J55="","",$J55+'ตั้งค่า'!$C$15)</f>
        <v/>
      </c>
      <c r="L55" s="39">
        <f>IF($J55="","",TODAY()-$J55)</f>
        <v/>
      </c>
      <c r="M55" s="26" t="n"/>
      <c r="N55" s="37" t="n"/>
    </row>
    <row r="56">
      <c r="A56" s="35" t="n"/>
      <c r="B56" s="26" t="n"/>
      <c r="C56" s="26" t="n"/>
      <c r="D56" s="26" t="n"/>
      <c r="E56" s="24" t="n"/>
      <c r="F56" s="35" t="n"/>
      <c r="G56" s="36">
        <f>IFERROR(INDEX($Q$7:$Q$14,MATCH($F56,$P$7:$P$14,0)),"")</f>
        <v/>
      </c>
      <c r="H56" s="12">
        <f>IF($E56="","",ROUND($E56*'ตั้งค่า'!$C$6*(1-'ตั้งค่า'!$C$7),0))</f>
        <v/>
      </c>
      <c r="I56" s="12">
        <f>IFERROR(ROUND($H56*$G56,0),"")</f>
        <v/>
      </c>
      <c r="J56" s="37" t="n"/>
      <c r="K56" s="38">
        <f>IF($J56="","",$J56+'ตั้งค่า'!$C$15)</f>
        <v/>
      </c>
      <c r="L56" s="39">
        <f>IF($J56="","",TODAY()-$J56)</f>
        <v/>
      </c>
      <c r="M56" s="26" t="n"/>
      <c r="N56" s="37" t="n"/>
    </row>
    <row r="57">
      <c r="A57" s="35" t="n"/>
      <c r="B57" s="26" t="n"/>
      <c r="C57" s="26" t="n"/>
      <c r="D57" s="26" t="n"/>
      <c r="E57" s="24" t="n"/>
      <c r="F57" s="35" t="n"/>
      <c r="G57" s="36">
        <f>IFERROR(INDEX($Q$7:$Q$14,MATCH($F57,$P$7:$P$14,0)),"")</f>
        <v/>
      </c>
      <c r="H57" s="12">
        <f>IF($E57="","",ROUND($E57*'ตั้งค่า'!$C$6*(1-'ตั้งค่า'!$C$7),0))</f>
        <v/>
      </c>
      <c r="I57" s="12">
        <f>IFERROR(ROUND($H57*$G57,0),"")</f>
        <v/>
      </c>
      <c r="J57" s="37" t="n"/>
      <c r="K57" s="38">
        <f>IF($J57="","",$J57+'ตั้งค่า'!$C$15)</f>
        <v/>
      </c>
      <c r="L57" s="39">
        <f>IF($J57="","",TODAY()-$J57)</f>
        <v/>
      </c>
      <c r="M57" s="26" t="n"/>
      <c r="N57" s="37" t="n"/>
    </row>
    <row r="58">
      <c r="A58" s="35" t="n"/>
      <c r="B58" s="26" t="n"/>
      <c r="C58" s="26" t="n"/>
      <c r="D58" s="26" t="n"/>
      <c r="E58" s="24" t="n"/>
      <c r="F58" s="35" t="n"/>
      <c r="G58" s="36">
        <f>IFERROR(INDEX($Q$7:$Q$14,MATCH($F58,$P$7:$P$14,0)),"")</f>
        <v/>
      </c>
      <c r="H58" s="12">
        <f>IF($E58="","",ROUND($E58*'ตั้งค่า'!$C$6*(1-'ตั้งค่า'!$C$7),0))</f>
        <v/>
      </c>
      <c r="I58" s="12">
        <f>IFERROR(ROUND($H58*$G58,0),"")</f>
        <v/>
      </c>
      <c r="J58" s="37" t="n"/>
      <c r="K58" s="38">
        <f>IF($J58="","",$J58+'ตั้งค่า'!$C$15)</f>
        <v/>
      </c>
      <c r="L58" s="39">
        <f>IF($J58="","",TODAY()-$J58)</f>
        <v/>
      </c>
      <c r="M58" s="26" t="n"/>
      <c r="N58" s="37" t="n"/>
    </row>
    <row r="59">
      <c r="A59" s="35" t="n"/>
      <c r="B59" s="26" t="n"/>
      <c r="C59" s="26" t="n"/>
      <c r="D59" s="26" t="n"/>
      <c r="E59" s="24" t="n"/>
      <c r="F59" s="35" t="n"/>
      <c r="G59" s="36">
        <f>IFERROR(INDEX($Q$7:$Q$14,MATCH($F59,$P$7:$P$14,0)),"")</f>
        <v/>
      </c>
      <c r="H59" s="12">
        <f>IF($E59="","",ROUND($E59*'ตั้งค่า'!$C$6*(1-'ตั้งค่า'!$C$7),0))</f>
        <v/>
      </c>
      <c r="I59" s="12">
        <f>IFERROR(ROUND($H59*$G59,0),"")</f>
        <v/>
      </c>
      <c r="J59" s="37" t="n"/>
      <c r="K59" s="38">
        <f>IF($J59="","",$J59+'ตั้งค่า'!$C$15)</f>
        <v/>
      </c>
      <c r="L59" s="39">
        <f>IF($J59="","",TODAY()-$J59)</f>
        <v/>
      </c>
      <c r="M59" s="26" t="n"/>
      <c r="N59" s="37" t="n"/>
    </row>
    <row r="60">
      <c r="A60" s="35" t="n"/>
      <c r="B60" s="26" t="n"/>
      <c r="C60" s="26" t="n"/>
      <c r="D60" s="26" t="n"/>
      <c r="E60" s="24" t="n"/>
      <c r="F60" s="35" t="n"/>
      <c r="G60" s="36">
        <f>IFERROR(INDEX($Q$7:$Q$14,MATCH($F60,$P$7:$P$14,0)),"")</f>
        <v/>
      </c>
      <c r="H60" s="12">
        <f>IF($E60="","",ROUND($E60*'ตั้งค่า'!$C$6*(1-'ตั้งค่า'!$C$7),0))</f>
        <v/>
      </c>
      <c r="I60" s="12">
        <f>IFERROR(ROUND($H60*$G60,0),"")</f>
        <v/>
      </c>
      <c r="J60" s="37" t="n"/>
      <c r="K60" s="38">
        <f>IF($J60="","",$J60+'ตั้งค่า'!$C$15)</f>
        <v/>
      </c>
      <c r="L60" s="39">
        <f>IF($J60="","",TODAY()-$J60)</f>
        <v/>
      </c>
      <c r="M60" s="26" t="n"/>
      <c r="N60" s="37" t="n"/>
    </row>
    <row r="61">
      <c r="A61" s="35" t="n"/>
      <c r="B61" s="26" t="n"/>
      <c r="C61" s="26" t="n"/>
      <c r="D61" s="26" t="n"/>
      <c r="E61" s="24" t="n"/>
      <c r="F61" s="35" t="n"/>
      <c r="G61" s="36">
        <f>IFERROR(INDEX($Q$7:$Q$14,MATCH($F61,$P$7:$P$14,0)),"")</f>
        <v/>
      </c>
      <c r="H61" s="12">
        <f>IF($E61="","",ROUND($E61*'ตั้งค่า'!$C$6*(1-'ตั้งค่า'!$C$7),0))</f>
        <v/>
      </c>
      <c r="I61" s="12">
        <f>IFERROR(ROUND($H61*$G61,0),"")</f>
        <v/>
      </c>
      <c r="J61" s="37" t="n"/>
      <c r="K61" s="38">
        <f>IF($J61="","",$J61+'ตั้งค่า'!$C$15)</f>
        <v/>
      </c>
      <c r="L61" s="39">
        <f>IF($J61="","",TODAY()-$J61)</f>
        <v/>
      </c>
      <c r="M61" s="26" t="n"/>
      <c r="N61" s="37" t="n"/>
    </row>
    <row r="62">
      <c r="A62" s="35" t="n"/>
      <c r="B62" s="26" t="n"/>
      <c r="C62" s="26" t="n"/>
      <c r="D62" s="26" t="n"/>
      <c r="E62" s="24" t="n"/>
      <c r="F62" s="35" t="n"/>
      <c r="G62" s="36">
        <f>IFERROR(INDEX($Q$7:$Q$14,MATCH($F62,$P$7:$P$14,0)),"")</f>
        <v/>
      </c>
      <c r="H62" s="12">
        <f>IF($E62="","",ROUND($E62*'ตั้งค่า'!$C$6*(1-'ตั้งค่า'!$C$7),0))</f>
        <v/>
      </c>
      <c r="I62" s="12">
        <f>IFERROR(ROUND($H62*$G62,0),"")</f>
        <v/>
      </c>
      <c r="J62" s="37" t="n"/>
      <c r="K62" s="38">
        <f>IF($J62="","",$J62+'ตั้งค่า'!$C$15)</f>
        <v/>
      </c>
      <c r="L62" s="39">
        <f>IF($J62="","",TODAY()-$J62)</f>
        <v/>
      </c>
      <c r="M62" s="26" t="n"/>
      <c r="N62" s="37" t="n"/>
    </row>
    <row r="63">
      <c r="A63" s="35" t="n"/>
      <c r="B63" s="26" t="n"/>
      <c r="C63" s="26" t="n"/>
      <c r="D63" s="26" t="n"/>
      <c r="E63" s="24" t="n"/>
      <c r="F63" s="35" t="n"/>
      <c r="G63" s="36">
        <f>IFERROR(INDEX($Q$7:$Q$14,MATCH($F63,$P$7:$P$14,0)),"")</f>
        <v/>
      </c>
      <c r="H63" s="12">
        <f>IF($E63="","",ROUND($E63*'ตั้งค่า'!$C$6*(1-'ตั้งค่า'!$C$7),0))</f>
        <v/>
      </c>
      <c r="I63" s="12">
        <f>IFERROR(ROUND($H63*$G63,0),"")</f>
        <v/>
      </c>
      <c r="J63" s="37" t="n"/>
      <c r="K63" s="38">
        <f>IF($J63="","",$J63+'ตั้งค่า'!$C$15)</f>
        <v/>
      </c>
      <c r="L63" s="39">
        <f>IF($J63="","",TODAY()-$J63)</f>
        <v/>
      </c>
      <c r="M63" s="26" t="n"/>
      <c r="N63" s="37" t="n"/>
    </row>
    <row r="64">
      <c r="A64" s="35" t="n"/>
      <c r="B64" s="26" t="n"/>
      <c r="C64" s="26" t="n"/>
      <c r="D64" s="26" t="n"/>
      <c r="E64" s="24" t="n"/>
      <c r="F64" s="35" t="n"/>
      <c r="G64" s="36">
        <f>IFERROR(INDEX($Q$7:$Q$14,MATCH($F64,$P$7:$P$14,0)),"")</f>
        <v/>
      </c>
      <c r="H64" s="12">
        <f>IF($E64="","",ROUND($E64*'ตั้งค่า'!$C$6*(1-'ตั้งค่า'!$C$7),0))</f>
        <v/>
      </c>
      <c r="I64" s="12">
        <f>IFERROR(ROUND($H64*$G64,0),"")</f>
        <v/>
      </c>
      <c r="J64" s="37" t="n"/>
      <c r="K64" s="38">
        <f>IF($J64="","",$J64+'ตั้งค่า'!$C$15)</f>
        <v/>
      </c>
      <c r="L64" s="39">
        <f>IF($J64="","",TODAY()-$J64)</f>
        <v/>
      </c>
      <c r="M64" s="26" t="n"/>
      <c r="N64" s="37" t="n"/>
    </row>
    <row r="65">
      <c r="A65" s="35" t="n"/>
      <c r="B65" s="26" t="n"/>
      <c r="C65" s="26" t="n"/>
      <c r="D65" s="26" t="n"/>
      <c r="E65" s="24" t="n"/>
      <c r="F65" s="35" t="n"/>
      <c r="G65" s="36">
        <f>IFERROR(INDEX($Q$7:$Q$14,MATCH($F65,$P$7:$P$14,0)),"")</f>
        <v/>
      </c>
      <c r="H65" s="12">
        <f>IF($E65="","",ROUND($E65*'ตั้งค่า'!$C$6*(1-'ตั้งค่า'!$C$7),0))</f>
        <v/>
      </c>
      <c r="I65" s="12">
        <f>IFERROR(ROUND($H65*$G65,0),"")</f>
        <v/>
      </c>
      <c r="J65" s="37" t="n"/>
      <c r="K65" s="38">
        <f>IF($J65="","",$J65+'ตั้งค่า'!$C$15)</f>
        <v/>
      </c>
      <c r="L65" s="39">
        <f>IF($J65="","",TODAY()-$J65)</f>
        <v/>
      </c>
      <c r="M65" s="26" t="n"/>
      <c r="N65" s="37" t="n"/>
    </row>
    <row r="66">
      <c r="A66" s="35" t="n"/>
      <c r="B66" s="26" t="n"/>
      <c r="C66" s="26" t="n"/>
      <c r="D66" s="26" t="n"/>
      <c r="E66" s="24" t="n"/>
      <c r="F66" s="35" t="n"/>
      <c r="G66" s="36">
        <f>IFERROR(INDEX($Q$7:$Q$14,MATCH($F66,$P$7:$P$14,0)),"")</f>
        <v/>
      </c>
      <c r="H66" s="12">
        <f>IF($E66="","",ROUND($E66*'ตั้งค่า'!$C$6*(1-'ตั้งค่า'!$C$7),0))</f>
        <v/>
      </c>
      <c r="I66" s="12">
        <f>IFERROR(ROUND($H66*$G66,0),"")</f>
        <v/>
      </c>
      <c r="J66" s="37" t="n"/>
      <c r="K66" s="38">
        <f>IF($J66="","",$J66+'ตั้งค่า'!$C$15)</f>
        <v/>
      </c>
      <c r="L66" s="39">
        <f>IF($J66="","",TODAY()-$J66)</f>
        <v/>
      </c>
      <c r="M66" s="26" t="n"/>
      <c r="N66" s="37" t="n"/>
    </row>
  </sheetData>
  <mergeCells count="3">
    <mergeCell ref="A3:N3"/>
    <mergeCell ref="A2:N2"/>
    <mergeCell ref="A1:N1"/>
  </mergeCells>
  <conditionalFormatting sqref="A7:N66">
    <cfRule type="expression" priority="1" dxfId="5">
      <formula>$F7="โอนแล้ว"</formula>
    </cfRule>
    <cfRule type="expression" priority="2" dxfId="6">
      <formula>$F7="หลุด/ปิด"</formula>
    </cfRule>
  </conditionalFormatting>
  <conditionalFormatting sqref="L7:L66">
    <cfRule type="cellIs" priority="3" operator="greaterThan" dxfId="7">
      <formula>$Q$16</formula>
    </cfRule>
  </conditionalFormatting>
  <dataValidations count="1">
    <dataValidation sqref="F7 F8 F9 F10 F11 F12 F13 F14 F15 F16 F17 F18 F19 F20 F21 F22 F23 F24 F25 F26 F27 F28 F29 F30 F31 F32 F33 F34 F35 F36 F37 F38 F39 F40 F41 F42 F43 F44 F45 F46 F47 F48 F49 F50 F51 F52 F53 F54 F55 F56 F57 F58 F59 F60 F61 F62 F63 F64 F65 F66" showDropDown="0" showInputMessage="0" showErrorMessage="0" allowBlank="1" type="list">
      <formula1>=$P$7:$P$14</formula1>
    </dataValidation>
  </dataValidations>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K33"/>
  <sheetViews>
    <sheetView showGridLines="1" workbookViewId="0">
      <selection activeCell="A1" sqref="A1"/>
    </sheetView>
  </sheetViews>
  <sheetFormatPr baseColWidth="8" defaultRowHeight="15"/>
  <cols>
    <col width="8" customWidth="1" min="1" max="1"/>
    <col width="40" customWidth="1" min="2" max="2"/>
    <col width="20" customWidth="1" min="3" max="3"/>
    <col width="16" customWidth="1" min="4" max="4"/>
    <col width="15" customWidth="1" min="5" max="5"/>
    <col width="15" customWidth="1" min="6" max="6"/>
    <col width="14" customWidth="1" min="7" max="7"/>
    <col width="11" customWidth="1" min="8" max="8"/>
    <col width="12" customWidth="1" min="9" max="9"/>
    <col width="14" customWidth="1" min="10" max="10"/>
    <col width="46" customWidth="1" min="11" max="11"/>
  </cols>
  <sheetData>
    <row r="1" ht="34" customHeight="1">
      <c r="A1" s="1" t="inlineStr">
        <is>
          <t>💰 พอร์ตลงทุน — ชั้นความเสี่ยง 0-4</t>
        </is>
      </c>
    </row>
    <row r="2" ht="30" customHeight="1">
      <c r="A2" s="2" t="inlineStr">
        <is>
          <t>แถว 4-13 คือ 'เมนูสินทรัพย์' ที่เตรียมไว้ให้ (ยอดเป็น 0 อยู่) — ใส่ยอดจริงลงไป หรือลบทิ้งแล้วพิมพ์ของคุณเอง · ชั้น 0 = เงินสำรองฉุกเฉิน ต้องเต็มก่อนถึงจะขึ้นชั้น 3 ได้</t>
        </is>
      </c>
    </row>
    <row r="3" ht="32" customHeight="1">
      <c r="A3" s="22" t="inlineStr">
        <is>
          <t>ชั้น</t>
        </is>
      </c>
      <c r="B3" s="22" t="inlineStr">
        <is>
          <t>ชื่อสินทรัพย์</t>
        </is>
      </c>
      <c r="C3" s="22" t="inlineStr">
        <is>
          <t>ประเภท</t>
        </is>
      </c>
      <c r="D3" s="22" t="inlineStr">
        <is>
          <t>ระดับความเสี่ยง</t>
        </is>
      </c>
      <c r="E3" s="22" t="inlineStr">
        <is>
          <t>เงินต้นที่ลง
(บาท)</t>
        </is>
      </c>
      <c r="F3" s="22" t="inlineStr">
        <is>
          <t>มูลค่าปัจจุบัน
(บาท)</t>
        </is>
      </c>
      <c r="G3" s="22" t="inlineStr">
        <is>
          <t>กำไร/ขาดทุน
(บาท)</t>
        </is>
      </c>
      <c r="H3" s="22" t="inlineStr">
        <is>
          <t>% กำไร</t>
        </is>
      </c>
      <c r="I3" s="22" t="inlineStr">
        <is>
          <t>% ของพอร์ต</t>
        </is>
      </c>
      <c r="J3" s="22" t="inlineStr">
        <is>
          <t>ผลตอบแทน
คาดหวัง/ปี</t>
        </is>
      </c>
      <c r="K3" s="22" t="inlineStr">
        <is>
          <t>หมายเหตุ / ข้อควรระวัง</t>
        </is>
      </c>
    </row>
    <row r="4">
      <c r="A4" s="42" t="n">
        <v>0</v>
      </c>
      <c r="B4" s="26" t="inlineStr">
        <is>
          <t>บัญชีเงินฝากดอกเบี้ยสูง / e-Savings</t>
        </is>
      </c>
      <c r="C4" s="26" t="inlineStr">
        <is>
          <t>เงินสด</t>
        </is>
      </c>
      <c r="D4" s="35" t="inlineStr">
        <is>
          <t>ต่ำมาก</t>
        </is>
      </c>
      <c r="E4" s="24" t="n">
        <v>0</v>
      </c>
      <c r="F4" s="24" t="n">
        <v>0</v>
      </c>
      <c r="G4" s="12">
        <f>IF($F4="","",$F4-$E4)</f>
        <v/>
      </c>
      <c r="H4" s="14">
        <f>IFERROR($G4/$E4,"")</f>
        <v/>
      </c>
      <c r="I4" s="14">
        <f>IFERROR($F4/$F$24,"")</f>
        <v/>
      </c>
      <c r="J4" s="43" t="n">
        <v>0.015</v>
      </c>
      <c r="K4" s="17" t="inlineStr">
        <is>
          <t>เงินสำรองฉุกเฉิน ถอนได้ทันที · เลือกธนาคารในความคุ้มครองของสถาบันคุ้มครองเงินฝาก</t>
        </is>
      </c>
    </row>
    <row r="5">
      <c r="A5" s="42" t="n">
        <v>0</v>
      </c>
      <c r="B5" s="26" t="inlineStr">
        <is>
          <t>กองทุนตลาดเงิน (Money Market)</t>
        </is>
      </c>
      <c r="C5" s="26" t="inlineStr">
        <is>
          <t>กองทุนรวม</t>
        </is>
      </c>
      <c r="D5" s="35" t="inlineStr">
        <is>
          <t>ต่ำมาก</t>
        </is>
      </c>
      <c r="E5" s="24" t="n">
        <v>0</v>
      </c>
      <c r="F5" s="24" t="n">
        <v>0</v>
      </c>
      <c r="G5" s="12">
        <f>IF($F5="","",$F5-$E5)</f>
        <v/>
      </c>
      <c r="H5" s="14">
        <f>IFERROR($G5/$E5,"")</f>
        <v/>
      </c>
      <c r="I5" s="14">
        <f>IFERROR($F5/$F$24,"")</f>
        <v/>
      </c>
      <c r="J5" s="43" t="n">
        <v>0.018</v>
      </c>
      <c r="K5" s="17" t="inlineStr">
        <is>
          <t>สภาพคล่องสูง ขายได้เงินวันทำการถัดไป · ใช้พักเงินก้อนที่รอโอกาส</t>
        </is>
      </c>
    </row>
    <row r="6">
      <c r="A6" s="42" t="n">
        <v>1</v>
      </c>
      <c r="B6" s="26" t="inlineStr">
        <is>
          <t>พันธบัตรออมทรัพย์รัฐบาล</t>
        </is>
      </c>
      <c r="C6" s="26" t="inlineStr">
        <is>
          <t>ตราสารหนี้ภาครัฐ</t>
        </is>
      </c>
      <c r="D6" s="35" t="inlineStr">
        <is>
          <t>ต่ำมาก</t>
        </is>
      </c>
      <c r="E6" s="24" t="n">
        <v>0</v>
      </c>
      <c r="F6" s="24" t="n">
        <v>0</v>
      </c>
      <c r="G6" s="12">
        <f>IF($F6="","",$F6-$E6)</f>
        <v/>
      </c>
      <c r="H6" s="14">
        <f>IFERROR($G6/$E6,"")</f>
        <v/>
      </c>
      <c r="I6" s="14">
        <f>IFERROR($F6/$F$24,"")</f>
        <v/>
      </c>
      <c r="J6" s="43" t="n">
        <v>0.025</v>
      </c>
      <c r="K6" s="17" t="inlineStr">
        <is>
          <t>ความเสี่ยงต่ำที่สุดในประเทศ · เปิดขายเป็นรอบ ซื้อผ่านแอปธนาคารตัวแทน</t>
        </is>
      </c>
    </row>
    <row r="7">
      <c r="A7" s="42" t="n">
        <v>1</v>
      </c>
      <c r="B7" s="26" t="inlineStr">
        <is>
          <t>กองทุนตราสารหนี้ระยะสั้น</t>
        </is>
      </c>
      <c r="C7" s="26" t="inlineStr">
        <is>
          <t>กองทุนรวม</t>
        </is>
      </c>
      <c r="D7" s="35" t="inlineStr">
        <is>
          <t>ต่ำ</t>
        </is>
      </c>
      <c r="E7" s="24" t="n">
        <v>0</v>
      </c>
      <c r="F7" s="24" t="n">
        <v>0</v>
      </c>
      <c r="G7" s="12">
        <f>IF($F7="","",$F7-$E7)</f>
        <v/>
      </c>
      <c r="H7" s="14">
        <f>IFERROR($G7/$E7,"")</f>
        <v/>
      </c>
      <c r="I7" s="14">
        <f>IFERROR($F7/$F$24,"")</f>
        <v/>
      </c>
      <c r="J7" s="43" t="n">
        <v>0.022</v>
      </c>
      <c r="K7" s="17" t="inlineStr">
        <is>
          <t>เลือกกองที่ค่าธรรมเนียมต่ำ · ค่าธรรมเนียมคือสิ่งเดียวที่คุณควบคุมได้ 100%</t>
        </is>
      </c>
    </row>
    <row r="8">
      <c r="A8" s="42" t="n">
        <v>2</v>
      </c>
      <c r="B8" s="26" t="inlineStr">
        <is>
          <t>หุ้นกู้เอกชนเรตติ้ง A ขึ้นไป</t>
        </is>
      </c>
      <c r="C8" s="26" t="inlineStr">
        <is>
          <t>ตราสารหนี้เอกชน</t>
        </is>
      </c>
      <c r="D8" s="35" t="inlineStr">
        <is>
          <t>ปานกลาง</t>
        </is>
      </c>
      <c r="E8" s="24" t="n">
        <v>0</v>
      </c>
      <c r="F8" s="24" t="n">
        <v>0</v>
      </c>
      <c r="G8" s="12">
        <f>IF($F8="","",$F8-$E8)</f>
        <v/>
      </c>
      <c r="H8" s="14">
        <f>IFERROR($G8/$E8,"")</f>
        <v/>
      </c>
      <c r="I8" s="14">
        <f>IFERROR($F8/$F$24,"")</f>
        <v/>
      </c>
      <c r="J8" s="43" t="n">
        <v>0.045</v>
      </c>
      <c r="K8" s="17" t="inlineStr">
        <is>
          <t>ห้ามซื้อหุ้นกู้ไม่มีเรตติ้ง หรือ High Yield เด็ดขาด · กระจายอย่างน้อย 5 บริษัท</t>
        </is>
      </c>
    </row>
    <row r="9">
      <c r="A9" s="42" t="n">
        <v>2</v>
      </c>
      <c r="B9" s="26" t="inlineStr">
        <is>
          <t>กองทุนอสังหาฯ / โครงสร้างพื้นฐาน (REIT, Infra)</t>
        </is>
      </c>
      <c r="C9" s="26" t="inlineStr">
        <is>
          <t>กองทุนรวม</t>
        </is>
      </c>
      <c r="D9" s="35" t="inlineStr">
        <is>
          <t>ปานกลาง</t>
        </is>
      </c>
      <c r="E9" s="24" t="n">
        <v>0</v>
      </c>
      <c r="F9" s="24" t="n">
        <v>0</v>
      </c>
      <c r="G9" s="12">
        <f>IF($F9="","",$F9-$E9)</f>
        <v/>
      </c>
      <c r="H9" s="14">
        <f>IFERROR($G9/$E9,"")</f>
        <v/>
      </c>
      <c r="I9" s="14">
        <f>IFERROR($F9/$F$24,"")</f>
        <v/>
      </c>
      <c r="J9" s="43" t="n">
        <v>0.055</v>
      </c>
      <c r="K9" s="17" t="inlineStr">
        <is>
          <t>ปันผลสม่ำเสมอ และเป็นสายที่คุณเข้าใจดีอยู่แล้วจากงานอสังหาฯ</t>
        </is>
      </c>
    </row>
    <row r="10">
      <c r="A10" s="42" t="n">
        <v>3</v>
      </c>
      <c r="B10" s="26" t="inlineStr">
        <is>
          <t>กองทุนดัชนีหุ้นโลก (MSCI World / S&amp;P 500)</t>
        </is>
      </c>
      <c r="C10" s="26" t="inlineStr">
        <is>
          <t>กองทุนรวม</t>
        </is>
      </c>
      <c r="D10" s="35" t="inlineStr">
        <is>
          <t>สูง</t>
        </is>
      </c>
      <c r="E10" s="24" t="n">
        <v>0</v>
      </c>
      <c r="F10" s="24" t="n">
        <v>0</v>
      </c>
      <c r="G10" s="12">
        <f>IF($F10="","",$F10-$E10)</f>
        <v/>
      </c>
      <c r="H10" s="14">
        <f>IFERROR($G10/$E10,"")</f>
        <v/>
      </c>
      <c r="I10" s="14">
        <f>IFERROR($F10/$F$24,"")</f>
        <v/>
      </c>
      <c r="J10" s="43" t="n">
        <v>0.075</v>
      </c>
      <c r="K10" s="17" t="inlineStr">
        <is>
          <t>ทยอยซื้อทุกวันที่ 1 เท่านั้น · ห้ามลงครั้งเดียวทั้งก้อน · ติดลบ 30% ถือเป็นเรื่องปกติ</t>
        </is>
      </c>
    </row>
    <row r="11">
      <c r="A11" s="42" t="n">
        <v>3</v>
      </c>
      <c r="B11" s="26" t="inlineStr">
        <is>
          <t>กองทุนดัชนีหุ้นไทย (SET50)</t>
        </is>
      </c>
      <c r="C11" s="26" t="inlineStr">
        <is>
          <t>กองทุนรวม</t>
        </is>
      </c>
      <c r="D11" s="35" t="inlineStr">
        <is>
          <t>สูง</t>
        </is>
      </c>
      <c r="E11" s="24" t="n">
        <v>0</v>
      </c>
      <c r="F11" s="24" t="n">
        <v>0</v>
      </c>
      <c r="G11" s="12">
        <f>IF($F11="","",$F11-$E11)</f>
        <v/>
      </c>
      <c r="H11" s="14">
        <f>IFERROR($G11/$E11,"")</f>
        <v/>
      </c>
      <c r="I11" s="14">
        <f>IFERROR($F11/$F$24,"")</f>
        <v/>
      </c>
      <c r="J11" s="43" t="n">
        <v>0.06</v>
      </c>
      <c r="K11" s="17" t="inlineStr">
        <is>
          <t>สัดส่วนไม่ควรเกินครึ่งของชั้น 3 · อย่ากระจุกในประเทศเดียวกับที่คุณทำมาหากิน</t>
        </is>
      </c>
    </row>
    <row r="12">
      <c r="A12" s="42" t="n">
        <v>4</v>
      </c>
      <c r="B12" s="26" t="inlineStr">
        <is>
          <t>กองทุน Thai ESG</t>
        </is>
      </c>
      <c r="C12" s="26" t="inlineStr">
        <is>
          <t>กองทุนลดหย่อนภาษี</t>
        </is>
      </c>
      <c r="D12" s="35" t="inlineStr">
        <is>
          <t>ปานกลาง-สูง</t>
        </is>
      </c>
      <c r="E12" s="24" t="n">
        <v>0</v>
      </c>
      <c r="F12" s="24" t="n">
        <v>0</v>
      </c>
      <c r="G12" s="12">
        <f>IF($F12="","",$F12-$E12)</f>
        <v/>
      </c>
      <c r="H12" s="14">
        <f>IFERROR($G12/$E12,"")</f>
        <v/>
      </c>
      <c r="I12" s="14">
        <f>IFERROR($F12/$F$24,"")</f>
        <v/>
      </c>
      <c r="J12" s="43" t="n">
        <v>0.07000000000000001</v>
      </c>
      <c r="K12" s="17" t="inlineStr">
        <is>
          <t>ลดหย่อนภาษีได้ = ผลตอบแทนแน่นอนเท่าฐานภาษีคุณในปีแรก · ตรวจเงื่อนไข/วงเงินล่าสุดที่ rd.go.th</t>
        </is>
      </c>
    </row>
    <row r="13">
      <c r="A13" s="42" t="n">
        <v>4</v>
      </c>
      <c r="B13" s="26" t="inlineStr">
        <is>
          <t>SSF / RMF</t>
        </is>
      </c>
      <c r="C13" s="26" t="inlineStr">
        <is>
          <t>กองทุนลดหย่อนภาษี</t>
        </is>
      </c>
      <c r="D13" s="35" t="inlineStr">
        <is>
          <t>ปรับได้</t>
        </is>
      </c>
      <c r="E13" s="24" t="n">
        <v>0</v>
      </c>
      <c r="F13" s="24" t="n">
        <v>0</v>
      </c>
      <c r="G13" s="12">
        <f>IF($F13="","",$F13-$E13)</f>
        <v/>
      </c>
      <c r="H13" s="14">
        <f>IFERROR($G13/$E13,"")</f>
        <v/>
      </c>
      <c r="I13" s="14">
        <f>IFERROR($F13/$F$24,"")</f>
        <v/>
      </c>
      <c r="J13" s="43" t="n">
        <v>0.07000000000000001</v>
      </c>
      <c r="K13" s="17" t="inlineStr">
        <is>
          <t>RMF ต้องถือถึงอายุ 55 ปี · เลือกนโยบายกองให้เติมเต็มชั้นที่ยังขาด</t>
        </is>
      </c>
    </row>
    <row r="14">
      <c r="A14" s="42" t="n"/>
      <c r="B14" s="26" t="n"/>
      <c r="C14" s="26" t="n"/>
      <c r="D14" s="35" t="n"/>
      <c r="E14" s="24" t="n"/>
      <c r="F14" s="24" t="n"/>
      <c r="G14" s="12">
        <f>IF($F14="","",$F14-$E14)</f>
        <v/>
      </c>
      <c r="H14" s="14">
        <f>IFERROR($G14/$E14,"")</f>
        <v/>
      </c>
      <c r="I14" s="14">
        <f>IFERROR($F14/$F$24,"")</f>
        <v/>
      </c>
      <c r="J14" s="43" t="n"/>
      <c r="K14" s="17" t="n"/>
    </row>
    <row r="15">
      <c r="A15" s="42" t="n"/>
      <c r="B15" s="26" t="n"/>
      <c r="C15" s="26" t="n"/>
      <c r="D15" s="35" t="n"/>
      <c r="E15" s="24" t="n"/>
      <c r="F15" s="24" t="n"/>
      <c r="G15" s="12">
        <f>IF($F15="","",$F15-$E15)</f>
        <v/>
      </c>
      <c r="H15" s="14">
        <f>IFERROR($G15/$E15,"")</f>
        <v/>
      </c>
      <c r="I15" s="14">
        <f>IFERROR($F15/$F$24,"")</f>
        <v/>
      </c>
      <c r="J15" s="43" t="n"/>
      <c r="K15" s="17" t="n"/>
    </row>
    <row r="16">
      <c r="A16" s="42" t="n"/>
      <c r="B16" s="26" t="n"/>
      <c r="C16" s="26" t="n"/>
      <c r="D16" s="35" t="n"/>
      <c r="E16" s="24" t="n"/>
      <c r="F16" s="24" t="n"/>
      <c r="G16" s="12">
        <f>IF($F16="","",$F16-$E16)</f>
        <v/>
      </c>
      <c r="H16" s="14">
        <f>IFERROR($G16/$E16,"")</f>
        <v/>
      </c>
      <c r="I16" s="14">
        <f>IFERROR($F16/$F$24,"")</f>
        <v/>
      </c>
      <c r="J16" s="43" t="n"/>
      <c r="K16" s="17" t="n"/>
    </row>
    <row r="17">
      <c r="A17" s="42" t="n"/>
      <c r="B17" s="26" t="n"/>
      <c r="C17" s="26" t="n"/>
      <c r="D17" s="35" t="n"/>
      <c r="E17" s="24" t="n"/>
      <c r="F17" s="24" t="n"/>
      <c r="G17" s="12">
        <f>IF($F17="","",$F17-$E17)</f>
        <v/>
      </c>
      <c r="H17" s="14">
        <f>IFERROR($G17/$E17,"")</f>
        <v/>
      </c>
      <c r="I17" s="14">
        <f>IFERROR($F17/$F$24,"")</f>
        <v/>
      </c>
      <c r="J17" s="43" t="n"/>
      <c r="K17" s="17" t="n"/>
    </row>
    <row r="18">
      <c r="A18" s="42" t="n"/>
      <c r="B18" s="26" t="n"/>
      <c r="C18" s="26" t="n"/>
      <c r="D18" s="35" t="n"/>
      <c r="E18" s="24" t="n"/>
      <c r="F18" s="24" t="n"/>
      <c r="G18" s="12">
        <f>IF($F18="","",$F18-$E18)</f>
        <v/>
      </c>
      <c r="H18" s="14">
        <f>IFERROR($G18/$E18,"")</f>
        <v/>
      </c>
      <c r="I18" s="14">
        <f>IFERROR($F18/$F$24,"")</f>
        <v/>
      </c>
      <c r="J18" s="43" t="n"/>
      <c r="K18" s="17" t="n"/>
    </row>
    <row r="19">
      <c r="A19" s="42" t="n"/>
      <c r="B19" s="26" t="n"/>
      <c r="C19" s="26" t="n"/>
      <c r="D19" s="35" t="n"/>
      <c r="E19" s="24" t="n"/>
      <c r="F19" s="24" t="n"/>
      <c r="G19" s="12">
        <f>IF($F19="","",$F19-$E19)</f>
        <v/>
      </c>
      <c r="H19" s="14">
        <f>IFERROR($G19/$E19,"")</f>
        <v/>
      </c>
      <c r="I19" s="14">
        <f>IFERROR($F19/$F$24,"")</f>
        <v/>
      </c>
      <c r="J19" s="43" t="n"/>
      <c r="K19" s="17" t="n"/>
    </row>
    <row r="20">
      <c r="A20" s="42" t="n"/>
      <c r="B20" s="26" t="n"/>
      <c r="C20" s="26" t="n"/>
      <c r="D20" s="35" t="n"/>
      <c r="E20" s="24" t="n"/>
      <c r="F20" s="24" t="n"/>
      <c r="G20" s="12">
        <f>IF($F20="","",$F20-$E20)</f>
        <v/>
      </c>
      <c r="H20" s="14">
        <f>IFERROR($G20/$E20,"")</f>
        <v/>
      </c>
      <c r="I20" s="14">
        <f>IFERROR($F20/$F$24,"")</f>
        <v/>
      </c>
      <c r="J20" s="43" t="n"/>
      <c r="K20" s="17" t="n"/>
    </row>
    <row r="21">
      <c r="A21" s="42" t="n"/>
      <c r="B21" s="26" t="n"/>
      <c r="C21" s="26" t="n"/>
      <c r="D21" s="35" t="n"/>
      <c r="E21" s="24" t="n"/>
      <c r="F21" s="24" t="n"/>
      <c r="G21" s="12">
        <f>IF($F21="","",$F21-$E21)</f>
        <v/>
      </c>
      <c r="H21" s="14">
        <f>IFERROR($G21/$E21,"")</f>
        <v/>
      </c>
      <c r="I21" s="14">
        <f>IFERROR($F21/$F$24,"")</f>
        <v/>
      </c>
      <c r="J21" s="43" t="n"/>
      <c r="K21" s="17" t="n"/>
    </row>
    <row r="22">
      <c r="A22" s="42" t="n"/>
      <c r="B22" s="26" t="n"/>
      <c r="C22" s="26" t="n"/>
      <c r="D22" s="35" t="n"/>
      <c r="E22" s="24" t="n"/>
      <c r="F22" s="24" t="n"/>
      <c r="G22" s="12">
        <f>IF($F22="","",$F22-$E22)</f>
        <v/>
      </c>
      <c r="H22" s="14">
        <f>IFERROR($G22/$E22,"")</f>
        <v/>
      </c>
      <c r="I22" s="14">
        <f>IFERROR($F22/$F$24,"")</f>
        <v/>
      </c>
      <c r="J22" s="43" t="n"/>
      <c r="K22" s="17" t="n"/>
    </row>
    <row r="23">
      <c r="A23" s="42" t="n"/>
      <c r="B23" s="26" t="n"/>
      <c r="C23" s="26" t="n"/>
      <c r="D23" s="35" t="n"/>
      <c r="E23" s="24" t="n"/>
      <c r="F23" s="24" t="n"/>
      <c r="G23" s="12">
        <f>IF($F23="","",$F23-$E23)</f>
        <v/>
      </c>
      <c r="H23" s="14">
        <f>IFERROR($G23/$E23,"")</f>
        <v/>
      </c>
      <c r="I23" s="14">
        <f>IFERROR($F23/$F$24,"")</f>
        <v/>
      </c>
      <c r="J23" s="43" t="n"/>
      <c r="K23" s="17" t="n"/>
    </row>
    <row r="24">
      <c r="A24" s="44" t="inlineStr">
        <is>
          <t>รวม</t>
        </is>
      </c>
      <c r="B24" s="45" t="inlineStr">
        <is>
          <t>พอร์ตทั้งหมด</t>
        </is>
      </c>
      <c r="C24" s="46" t="n"/>
      <c r="D24" s="46" t="n"/>
      <c r="E24" s="47">
        <f>SUM(E4:E23)</f>
        <v/>
      </c>
      <c r="F24" s="47">
        <f>SUM(F4:F23)</f>
        <v/>
      </c>
      <c r="G24" s="47">
        <f>F24-E24</f>
        <v/>
      </c>
      <c r="H24" s="48">
        <f>IFERROR(G24/E24,"")</f>
        <v/>
      </c>
      <c r="I24" s="48">
        <f>IFERROR(F24/F24,"")</f>
        <v/>
      </c>
      <c r="J24" s="49">
        <f>IFERROR(SUMPRODUCT($F$4:$F$23,$J$4:$J$23)/$F$24,0)</f>
        <v/>
      </c>
      <c r="K24" s="50" t="inlineStr">
        <is>
          <t>ผลตอบแทนคาดหวังถ่วงน้ำหนักของพอร์ตจริง</t>
        </is>
      </c>
    </row>
    <row r="26" ht="24" customHeight="1">
      <c r="A26" s="5" t="inlineStr">
        <is>
          <t>⚖️ ต้องซื้อ/ขายอะไรบ้างให้ตรงเป้า (Rebalance)</t>
        </is>
      </c>
    </row>
    <row r="27" ht="32" customHeight="1">
      <c r="A27" s="22" t="inlineStr">
        <is>
          <t>ชั้น</t>
        </is>
      </c>
      <c r="B27" s="22" t="inlineStr">
        <is>
          <t>ชื่อชั้น</t>
        </is>
      </c>
      <c r="C27" s="22" t="inlineStr">
        <is>
          <t>มูลค่าตอนนี้
(บาท)</t>
        </is>
      </c>
      <c r="D27" s="22" t="inlineStr">
        <is>
          <t>% จริง</t>
        </is>
      </c>
      <c r="E27" s="22" t="inlineStr">
        <is>
          <t>เป้าหมาย
(บาท)</t>
        </is>
      </c>
      <c r="F27" s="22" t="inlineStr">
        <is>
          <t>ส่วนต่าง
(บาท)</t>
        </is>
      </c>
      <c r="G27" s="22" t="inlineStr">
        <is>
          <t>ต้องทำอะไร</t>
        </is>
      </c>
    </row>
    <row r="28">
      <c r="A28" s="51" t="n">
        <v>0</v>
      </c>
      <c r="B28" s="11" t="inlineStr">
        <is>
          <t>เงินสำรองฉุกเฉิน (เงินสด)</t>
        </is>
      </c>
      <c r="C28" s="52">
        <f>SUMIF($A$4:$A$23,0,$F$4:$F$23)</f>
        <v/>
      </c>
      <c r="D28" s="53">
        <f>IFERROR(C28/$C$33,"")</f>
        <v/>
      </c>
      <c r="E28" s="52">
        <f>'ตั้งค่า'!$C$31</f>
        <v/>
      </c>
      <c r="F28" s="52">
        <f>E28-C28</f>
        <v/>
      </c>
      <c r="G28" s="27">
        <f>IF(F28&gt;1000,"➕ เติมอีก "&amp;TEXT(F28,"#,##0")&amp;" บาท",IF(F28&lt;-1000,"➖ เกินเป้า "&amp;TEXT(-F28,"#,##0")&amp;" บาท","✅ พอดีแล้ว"))</f>
        <v/>
      </c>
    </row>
    <row r="29">
      <c r="A29" s="51" t="n">
        <v>1</v>
      </c>
      <c r="B29" s="11" t="inlineStr">
        <is>
          <t>ปลอดภัย — พันธบัตร/ตราสารหนี้</t>
        </is>
      </c>
      <c r="C29" s="52">
        <f>SUMIF($A$4:$A$23,1,$F$4:$F$23)</f>
        <v/>
      </c>
      <c r="D29" s="53">
        <f>IFERROR(C29/$C$33,"")</f>
        <v/>
      </c>
      <c r="E29" s="52">
        <f>MAX(0,$C$33-$E$28)*'ตั้งค่า'!$C$40</f>
        <v/>
      </c>
      <c r="F29" s="52">
        <f>E29-C29</f>
        <v/>
      </c>
      <c r="G29" s="27">
        <f>IF(F29&gt;1000,"➕ เติมอีก "&amp;TEXT(F29,"#,##0")&amp;" บาท",IF(F29&lt;-1000,"➖ เกินเป้า "&amp;TEXT(-F29,"#,##0")&amp;" บาท","✅ พอดีแล้ว"))</f>
        <v/>
      </c>
    </row>
    <row r="30">
      <c r="A30" s="51" t="n">
        <v>2</v>
      </c>
      <c r="B30" s="11" t="inlineStr">
        <is>
          <t>รายได้ประจำ — หุ้นกู้/REIT</t>
        </is>
      </c>
      <c r="C30" s="52">
        <f>SUMIF($A$4:$A$23,2,$F$4:$F$23)</f>
        <v/>
      </c>
      <c r="D30" s="53">
        <f>IFERROR(C30/$C$33,"")</f>
        <v/>
      </c>
      <c r="E30" s="52">
        <f>MAX(0,$C$33-$E$28)*'ตั้งค่า'!$C$41</f>
        <v/>
      </c>
      <c r="F30" s="52">
        <f>E30-C30</f>
        <v/>
      </c>
      <c r="G30" s="27">
        <f>IF(F30&gt;1000,"➕ เติมอีก "&amp;TEXT(F30,"#,##0")&amp;" บาท",IF(F30&lt;-1000,"➖ เกินเป้า "&amp;TEXT(-F30,"#,##0")&amp;" บาท","✅ พอดีแล้ว"))</f>
        <v/>
      </c>
    </row>
    <row r="31">
      <c r="A31" s="51" t="n">
        <v>3</v>
      </c>
      <c r="B31" s="11" t="inlineStr">
        <is>
          <t>เติบโต — กองดัชนีหุ้น (DCA)</t>
        </is>
      </c>
      <c r="C31" s="52">
        <f>SUMIF($A$4:$A$23,3,$F$4:$F$23)</f>
        <v/>
      </c>
      <c r="D31" s="53">
        <f>IFERROR(C31/$C$33,"")</f>
        <v/>
      </c>
      <c r="E31" s="52">
        <f>MAX(0,$C$33-$E$28)*'ตั้งค่า'!$C$42</f>
        <v/>
      </c>
      <c r="F31" s="52">
        <f>E31-C31</f>
        <v/>
      </c>
      <c r="G31" s="27">
        <f>IF(F31&gt;1000,"➕ เติมอีก "&amp;TEXT(F31,"#,##0")&amp;" บาท",IF(F31&lt;-1000,"➖ เกินเป้า "&amp;TEXT(-F31,"#,##0")&amp;" บาท","✅ พอดีแล้ว"))</f>
        <v/>
      </c>
    </row>
    <row r="32">
      <c r="A32" s="51" t="n">
        <v>4</v>
      </c>
      <c r="B32" s="11" t="inlineStr">
        <is>
          <t>ลดหย่อนภาษี — Thai ESG/SSF/RMF</t>
        </is>
      </c>
      <c r="C32" s="52">
        <f>SUMIF($A$4:$A$23,4,$F$4:$F$23)</f>
        <v/>
      </c>
      <c r="D32" s="53">
        <f>IFERROR(C32/$C$33,"")</f>
        <v/>
      </c>
      <c r="E32" s="52">
        <f>MAX(0,$C$33-$E$28)*'ตั้งค่า'!$C$43</f>
        <v/>
      </c>
      <c r="F32" s="52">
        <f>E32-C32</f>
        <v/>
      </c>
      <c r="G32" s="27">
        <f>IF(F32&gt;1000,"➕ เติมอีก "&amp;TEXT(F32,"#,##0")&amp;" บาท",IF(F32&lt;-1000,"➖ เกินเป้า "&amp;TEXT(-F32,"#,##0")&amp;" บาท","✅ พอดีแล้ว"))</f>
        <v/>
      </c>
    </row>
    <row r="33">
      <c r="A33" s="46" t="inlineStr"/>
      <c r="B33" s="45" t="inlineStr">
        <is>
          <t>รวมทุกชั้น</t>
        </is>
      </c>
      <c r="C33" s="47">
        <f>SUM(C28:C32)</f>
        <v/>
      </c>
      <c r="D33" s="46" t="n"/>
      <c r="E33" s="46" t="n"/>
      <c r="F33" s="46" t="n"/>
      <c r="G33" s="46" t="n"/>
    </row>
  </sheetData>
  <mergeCells count="3">
    <mergeCell ref="A2:K2"/>
    <mergeCell ref="A1:K1"/>
    <mergeCell ref="A26:K26"/>
  </mergeCells>
  <conditionalFormatting sqref="G28:G32">
    <cfRule type="expression" priority="1" dxfId="0">
      <formula>ISNUMBER(SEARCH("✅",$G28))</formula>
    </cfRule>
    <cfRule type="expression" priority="2" dxfId="8">
      <formula>ISNUMBER(SEARCH("➕",$G28))</formula>
    </cfRule>
  </conditionalFormatting>
  <dataValidations count="1">
    <dataValidation sqref="A4 A5 A6 A7 A8 A9 A10 A11 A12 A13 A14 A15 A16 A17 A18 A19 A20 A21 A22 A23" showDropDown="0" showInputMessage="0" showErrorMessage="0" allowBlank="1" type="list">
      <formula1>"0,1,2,3,4"</formula1>
    </dataValidation>
  </dataValidations>
  <pageMargins left="0.75" right="0.75" top="1" bottom="1" header="0.5" footer="0.5"/>
</worksheet>
</file>

<file path=xl/worksheets/sheet6.xml><?xml version="1.0" encoding="utf-8"?>
<worksheet xmlns="http://schemas.openxmlformats.org/spreadsheetml/2006/main">
  <sheetPr>
    <tabColor rgb="000369A1"/>
    <outlinePr summaryBelow="1" summaryRight="1"/>
    <pageSetUpPr/>
  </sheetPr>
  <dimension ref="A1:H373"/>
  <sheetViews>
    <sheetView showGridLines="1"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6" customWidth="1" min="6" max="6"/>
    <col width="14" customWidth="1" min="7" max="7"/>
    <col width="40" customWidth="1" min="8" max="8"/>
  </cols>
  <sheetData>
    <row r="1" ht="34" customHeight="1">
      <c r="A1" s="1" t="inlineStr">
        <is>
          <t>📈 มูลค่าพอร์ตรายวัน</t>
        </is>
      </c>
    </row>
    <row r="2" ht="30" customHeight="1">
      <c r="A2" s="2" t="inlineStr">
        <is>
          <t>กรอกแค่ 2 ช่อง: มูลค่าพอร์ตรวม กับ เงินที่เติมเข้าวันนี้ · ไม่ต้องกรอกครบทุกวันก็ได้ แต่ต้องกรอกทุกวันที่ 1 และ 16 · ตัวอย่างวันแรก: มูลค่าพอร์ตรวม 100,000 | เติมเข้าวันนี้ 100,000</t>
        </is>
      </c>
    </row>
    <row r="3" ht="32" customHeight="1">
      <c r="A3" s="22" t="inlineStr">
        <is>
          <t>วันที่</t>
        </is>
      </c>
      <c r="B3" s="22" t="inlineStr">
        <is>
          <t>มูลค่าพอร์ตรวม
(บาท)</t>
        </is>
      </c>
      <c r="C3" s="22" t="inlineStr">
        <is>
          <t>เติมเข้าวันนี้
(บาท)</t>
        </is>
      </c>
      <c r="D3" s="22" t="inlineStr">
        <is>
          <t>เงินต้นสะสม
(บาท)</t>
        </is>
      </c>
      <c r="E3" s="22" t="inlineStr">
        <is>
          <t>กำไร/ขาดทุนสะสม
(บาท)</t>
        </is>
      </c>
      <c r="F3" s="22" t="inlineStr">
        <is>
          <t>จุดสูงสุด
(บาท)</t>
        </is>
      </c>
      <c r="G3" s="22" t="inlineStr">
        <is>
          <t>Drawdown</t>
        </is>
      </c>
      <c r="H3" s="22" t="inlineStr">
        <is>
          <t>หมายเหตุ</t>
        </is>
      </c>
    </row>
    <row r="4">
      <c r="A4" s="23" t="n">
        <v>46260</v>
      </c>
      <c r="B4" s="24" t="n"/>
      <c r="C4" s="24" t="n"/>
      <c r="D4" s="12">
        <f>IF($B4="","",SUM($C$4:$C4))</f>
        <v/>
      </c>
      <c r="E4" s="12">
        <f>IF($B4="","",$B4-$D4)</f>
        <v/>
      </c>
      <c r="F4" s="12">
        <f>IF($B4="","",MAX($B$4:$B4))</f>
        <v/>
      </c>
      <c r="G4" s="14">
        <f>IF($B4="","",IFERROR($B4/MAX($B$4:$B4)-1,0))</f>
        <v/>
      </c>
      <c r="H4" s="26" t="n"/>
    </row>
    <row r="5">
      <c r="A5" s="23" t="n">
        <v>46261</v>
      </c>
      <c r="B5" s="24" t="n"/>
      <c r="C5" s="24" t="n"/>
      <c r="D5" s="12">
        <f>IF($B5="","",SUM($C$4:$C5))</f>
        <v/>
      </c>
      <c r="E5" s="12">
        <f>IF($B5="","",$B5-$D5)</f>
        <v/>
      </c>
      <c r="F5" s="12">
        <f>IF($B5="","",MAX($B$4:$B5))</f>
        <v/>
      </c>
      <c r="G5" s="14">
        <f>IF($B5="","",IFERROR($B5/MAX($B$4:$B5)-1,0))</f>
        <v/>
      </c>
      <c r="H5" s="26" t="n"/>
    </row>
    <row r="6">
      <c r="A6" s="23" t="n">
        <v>46262</v>
      </c>
      <c r="B6" s="24" t="n"/>
      <c r="C6" s="24" t="n"/>
      <c r="D6" s="12">
        <f>IF($B6="","",SUM($C$4:$C6))</f>
        <v/>
      </c>
      <c r="E6" s="12">
        <f>IF($B6="","",$B6-$D6)</f>
        <v/>
      </c>
      <c r="F6" s="12">
        <f>IF($B6="","",MAX($B$4:$B6))</f>
        <v/>
      </c>
      <c r="G6" s="14">
        <f>IF($B6="","",IFERROR($B6/MAX($B$4:$B6)-1,0))</f>
        <v/>
      </c>
      <c r="H6" s="26" t="n"/>
    </row>
    <row r="7">
      <c r="A7" s="23" t="n">
        <v>46263</v>
      </c>
      <c r="B7" s="24" t="n"/>
      <c r="C7" s="24" t="n"/>
      <c r="D7" s="12">
        <f>IF($B7="","",SUM($C$4:$C7))</f>
        <v/>
      </c>
      <c r="E7" s="12">
        <f>IF($B7="","",$B7-$D7)</f>
        <v/>
      </c>
      <c r="F7" s="12">
        <f>IF($B7="","",MAX($B$4:$B7))</f>
        <v/>
      </c>
      <c r="G7" s="14">
        <f>IF($B7="","",IFERROR($B7/MAX($B$4:$B7)-1,0))</f>
        <v/>
      </c>
      <c r="H7" s="26" t="n"/>
    </row>
    <row r="8">
      <c r="A8" s="23" t="n">
        <v>46264</v>
      </c>
      <c r="B8" s="24" t="n"/>
      <c r="C8" s="24" t="n"/>
      <c r="D8" s="12">
        <f>IF($B8="","",SUM($C$4:$C8))</f>
        <v/>
      </c>
      <c r="E8" s="12">
        <f>IF($B8="","",$B8-$D8)</f>
        <v/>
      </c>
      <c r="F8" s="12">
        <f>IF($B8="","",MAX($B$4:$B8))</f>
        <v/>
      </c>
      <c r="G8" s="14">
        <f>IF($B8="","",IFERROR($B8/MAX($B$4:$B8)-1,0))</f>
        <v/>
      </c>
      <c r="H8" s="26" t="n"/>
    </row>
    <row r="9">
      <c r="A9" s="23" t="n">
        <v>46265</v>
      </c>
      <c r="B9" s="24" t="n"/>
      <c r="C9" s="24" t="n"/>
      <c r="D9" s="12">
        <f>IF($B9="","",SUM($C$4:$C9))</f>
        <v/>
      </c>
      <c r="E9" s="12">
        <f>IF($B9="","",$B9-$D9)</f>
        <v/>
      </c>
      <c r="F9" s="12">
        <f>IF($B9="","",MAX($B$4:$B9))</f>
        <v/>
      </c>
      <c r="G9" s="14">
        <f>IF($B9="","",IFERROR($B9/MAX($B$4:$B9)-1,0))</f>
        <v/>
      </c>
      <c r="H9" s="26" t="n"/>
    </row>
    <row r="10">
      <c r="A10" s="31" t="n">
        <v>46266</v>
      </c>
      <c r="B10" s="24" t="n"/>
      <c r="C10" s="24" t="n"/>
      <c r="D10" s="12">
        <f>IF($B10="","",SUM($C$4:$C10))</f>
        <v/>
      </c>
      <c r="E10" s="12">
        <f>IF($B10="","",$B10-$D10)</f>
        <v/>
      </c>
      <c r="F10" s="12">
        <f>IF($B10="","",MAX($B$4:$B10))</f>
        <v/>
      </c>
      <c r="G10" s="14">
        <f>IF($B10="","",IFERROR($B10/MAX($B$4:$B10)-1,0))</f>
        <v/>
      </c>
      <c r="H10" s="26" t="n"/>
    </row>
    <row r="11">
      <c r="A11" s="23" t="n">
        <v>46267</v>
      </c>
      <c r="B11" s="24" t="n"/>
      <c r="C11" s="24" t="n"/>
      <c r="D11" s="12">
        <f>IF($B11="","",SUM($C$4:$C11))</f>
        <v/>
      </c>
      <c r="E11" s="12">
        <f>IF($B11="","",$B11-$D11)</f>
        <v/>
      </c>
      <c r="F11" s="12">
        <f>IF($B11="","",MAX($B$4:$B11))</f>
        <v/>
      </c>
      <c r="G11" s="14">
        <f>IF($B11="","",IFERROR($B11/MAX($B$4:$B11)-1,0))</f>
        <v/>
      </c>
      <c r="H11" s="26" t="n"/>
    </row>
    <row r="12">
      <c r="A12" s="23" t="n">
        <v>46268</v>
      </c>
      <c r="B12" s="24" t="n"/>
      <c r="C12" s="24" t="n"/>
      <c r="D12" s="12">
        <f>IF($B12="","",SUM($C$4:$C12))</f>
        <v/>
      </c>
      <c r="E12" s="12">
        <f>IF($B12="","",$B12-$D12)</f>
        <v/>
      </c>
      <c r="F12" s="12">
        <f>IF($B12="","",MAX($B$4:$B12))</f>
        <v/>
      </c>
      <c r="G12" s="14">
        <f>IF($B12="","",IFERROR($B12/MAX($B$4:$B12)-1,0))</f>
        <v/>
      </c>
      <c r="H12" s="26" t="n"/>
    </row>
    <row r="13">
      <c r="A13" s="23" t="n">
        <v>46269</v>
      </c>
      <c r="B13" s="24" t="n"/>
      <c r="C13" s="24" t="n"/>
      <c r="D13" s="12">
        <f>IF($B13="","",SUM($C$4:$C13))</f>
        <v/>
      </c>
      <c r="E13" s="12">
        <f>IF($B13="","",$B13-$D13)</f>
        <v/>
      </c>
      <c r="F13" s="12">
        <f>IF($B13="","",MAX($B$4:$B13))</f>
        <v/>
      </c>
      <c r="G13" s="14">
        <f>IF($B13="","",IFERROR($B13/MAX($B$4:$B13)-1,0))</f>
        <v/>
      </c>
      <c r="H13" s="26" t="n"/>
    </row>
    <row r="14">
      <c r="A14" s="23" t="n">
        <v>46270</v>
      </c>
      <c r="B14" s="24" t="n"/>
      <c r="C14" s="24" t="n"/>
      <c r="D14" s="12">
        <f>IF($B14="","",SUM($C$4:$C14))</f>
        <v/>
      </c>
      <c r="E14" s="12">
        <f>IF($B14="","",$B14-$D14)</f>
        <v/>
      </c>
      <c r="F14" s="12">
        <f>IF($B14="","",MAX($B$4:$B14))</f>
        <v/>
      </c>
      <c r="G14" s="14">
        <f>IF($B14="","",IFERROR($B14/MAX($B$4:$B14)-1,0))</f>
        <v/>
      </c>
      <c r="H14" s="26" t="n"/>
    </row>
    <row r="15">
      <c r="A15" s="23" t="n">
        <v>46271</v>
      </c>
      <c r="B15" s="24" t="n"/>
      <c r="C15" s="24" t="n"/>
      <c r="D15" s="12">
        <f>IF($B15="","",SUM($C$4:$C15))</f>
        <v/>
      </c>
      <c r="E15" s="12">
        <f>IF($B15="","",$B15-$D15)</f>
        <v/>
      </c>
      <c r="F15" s="12">
        <f>IF($B15="","",MAX($B$4:$B15))</f>
        <v/>
      </c>
      <c r="G15" s="14">
        <f>IF($B15="","",IFERROR($B15/MAX($B$4:$B15)-1,0))</f>
        <v/>
      </c>
      <c r="H15" s="26" t="n"/>
    </row>
    <row r="16">
      <c r="A16" s="23" t="n">
        <v>46272</v>
      </c>
      <c r="B16" s="24" t="n"/>
      <c r="C16" s="24" t="n"/>
      <c r="D16" s="12">
        <f>IF($B16="","",SUM($C$4:$C16))</f>
        <v/>
      </c>
      <c r="E16" s="12">
        <f>IF($B16="","",$B16-$D16)</f>
        <v/>
      </c>
      <c r="F16" s="12">
        <f>IF($B16="","",MAX($B$4:$B16))</f>
        <v/>
      </c>
      <c r="G16" s="14">
        <f>IF($B16="","",IFERROR($B16/MAX($B$4:$B16)-1,0))</f>
        <v/>
      </c>
      <c r="H16" s="26" t="n"/>
    </row>
    <row r="17">
      <c r="A17" s="23" t="n">
        <v>46273</v>
      </c>
      <c r="B17" s="24" t="n"/>
      <c r="C17" s="24" t="n"/>
      <c r="D17" s="12">
        <f>IF($B17="","",SUM($C$4:$C17))</f>
        <v/>
      </c>
      <c r="E17" s="12">
        <f>IF($B17="","",$B17-$D17)</f>
        <v/>
      </c>
      <c r="F17" s="12">
        <f>IF($B17="","",MAX($B$4:$B17))</f>
        <v/>
      </c>
      <c r="G17" s="14">
        <f>IF($B17="","",IFERROR($B17/MAX($B$4:$B17)-1,0))</f>
        <v/>
      </c>
      <c r="H17" s="26" t="n"/>
    </row>
    <row r="18">
      <c r="A18" s="23" t="n">
        <v>46274</v>
      </c>
      <c r="B18" s="24" t="n"/>
      <c r="C18" s="24" t="n"/>
      <c r="D18" s="12">
        <f>IF($B18="","",SUM($C$4:$C18))</f>
        <v/>
      </c>
      <c r="E18" s="12">
        <f>IF($B18="","",$B18-$D18)</f>
        <v/>
      </c>
      <c r="F18" s="12">
        <f>IF($B18="","",MAX($B$4:$B18))</f>
        <v/>
      </c>
      <c r="G18" s="14">
        <f>IF($B18="","",IFERROR($B18/MAX($B$4:$B18)-1,0))</f>
        <v/>
      </c>
      <c r="H18" s="26" t="n"/>
    </row>
    <row r="19">
      <c r="A19" s="23" t="n">
        <v>46275</v>
      </c>
      <c r="B19" s="24" t="n"/>
      <c r="C19" s="24" t="n"/>
      <c r="D19" s="12">
        <f>IF($B19="","",SUM($C$4:$C19))</f>
        <v/>
      </c>
      <c r="E19" s="12">
        <f>IF($B19="","",$B19-$D19)</f>
        <v/>
      </c>
      <c r="F19" s="12">
        <f>IF($B19="","",MAX($B$4:$B19))</f>
        <v/>
      </c>
      <c r="G19" s="14">
        <f>IF($B19="","",IFERROR($B19/MAX($B$4:$B19)-1,0))</f>
        <v/>
      </c>
      <c r="H19" s="26" t="n"/>
    </row>
    <row r="20">
      <c r="A20" s="23" t="n">
        <v>46276</v>
      </c>
      <c r="B20" s="24" t="n"/>
      <c r="C20" s="24" t="n"/>
      <c r="D20" s="12">
        <f>IF($B20="","",SUM($C$4:$C20))</f>
        <v/>
      </c>
      <c r="E20" s="12">
        <f>IF($B20="","",$B20-$D20)</f>
        <v/>
      </c>
      <c r="F20" s="12">
        <f>IF($B20="","",MAX($B$4:$B20))</f>
        <v/>
      </c>
      <c r="G20" s="14">
        <f>IF($B20="","",IFERROR($B20/MAX($B$4:$B20)-1,0))</f>
        <v/>
      </c>
      <c r="H20" s="26" t="n"/>
    </row>
    <row r="21">
      <c r="A21" s="23" t="n">
        <v>46277</v>
      </c>
      <c r="B21" s="24" t="n"/>
      <c r="C21" s="24" t="n"/>
      <c r="D21" s="12">
        <f>IF($B21="","",SUM($C$4:$C21))</f>
        <v/>
      </c>
      <c r="E21" s="12">
        <f>IF($B21="","",$B21-$D21)</f>
        <v/>
      </c>
      <c r="F21" s="12">
        <f>IF($B21="","",MAX($B$4:$B21))</f>
        <v/>
      </c>
      <c r="G21" s="14">
        <f>IF($B21="","",IFERROR($B21/MAX($B$4:$B21)-1,0))</f>
        <v/>
      </c>
      <c r="H21" s="26" t="n"/>
    </row>
    <row r="22">
      <c r="A22" s="23" t="n">
        <v>46278</v>
      </c>
      <c r="B22" s="24" t="n"/>
      <c r="C22" s="24" t="n"/>
      <c r="D22" s="12">
        <f>IF($B22="","",SUM($C$4:$C22))</f>
        <v/>
      </c>
      <c r="E22" s="12">
        <f>IF($B22="","",$B22-$D22)</f>
        <v/>
      </c>
      <c r="F22" s="12">
        <f>IF($B22="","",MAX($B$4:$B22))</f>
        <v/>
      </c>
      <c r="G22" s="14">
        <f>IF($B22="","",IFERROR($B22/MAX($B$4:$B22)-1,0))</f>
        <v/>
      </c>
      <c r="H22" s="26" t="n"/>
    </row>
    <row r="23">
      <c r="A23" s="23" t="n">
        <v>46279</v>
      </c>
      <c r="B23" s="24" t="n"/>
      <c r="C23" s="24" t="n"/>
      <c r="D23" s="12">
        <f>IF($B23="","",SUM($C$4:$C23))</f>
        <v/>
      </c>
      <c r="E23" s="12">
        <f>IF($B23="","",$B23-$D23)</f>
        <v/>
      </c>
      <c r="F23" s="12">
        <f>IF($B23="","",MAX($B$4:$B23))</f>
        <v/>
      </c>
      <c r="G23" s="14">
        <f>IF($B23="","",IFERROR($B23/MAX($B$4:$B23)-1,0))</f>
        <v/>
      </c>
      <c r="H23" s="26" t="n"/>
    </row>
    <row r="24">
      <c r="A24" s="23" t="n">
        <v>46280</v>
      </c>
      <c r="B24" s="24" t="n"/>
      <c r="C24" s="24" t="n"/>
      <c r="D24" s="12">
        <f>IF($B24="","",SUM($C$4:$C24))</f>
        <v/>
      </c>
      <c r="E24" s="12">
        <f>IF($B24="","",$B24-$D24)</f>
        <v/>
      </c>
      <c r="F24" s="12">
        <f>IF($B24="","",MAX($B$4:$B24))</f>
        <v/>
      </c>
      <c r="G24" s="14">
        <f>IF($B24="","",IFERROR($B24/MAX($B$4:$B24)-1,0))</f>
        <v/>
      </c>
      <c r="H24" s="26" t="n"/>
    </row>
    <row r="25">
      <c r="A25" s="31" t="n">
        <v>46281</v>
      </c>
      <c r="B25" s="24" t="n"/>
      <c r="C25" s="24" t="n"/>
      <c r="D25" s="12">
        <f>IF($B25="","",SUM($C$4:$C25))</f>
        <v/>
      </c>
      <c r="E25" s="12">
        <f>IF($B25="","",$B25-$D25)</f>
        <v/>
      </c>
      <c r="F25" s="12">
        <f>IF($B25="","",MAX($B$4:$B25))</f>
        <v/>
      </c>
      <c r="G25" s="14">
        <f>IF($B25="","",IFERROR($B25/MAX($B$4:$B25)-1,0))</f>
        <v/>
      </c>
      <c r="H25" s="26" t="n"/>
    </row>
    <row r="26">
      <c r="A26" s="23" t="n">
        <v>46282</v>
      </c>
      <c r="B26" s="24" t="n"/>
      <c r="C26" s="24" t="n"/>
      <c r="D26" s="12">
        <f>IF($B26="","",SUM($C$4:$C26))</f>
        <v/>
      </c>
      <c r="E26" s="12">
        <f>IF($B26="","",$B26-$D26)</f>
        <v/>
      </c>
      <c r="F26" s="12">
        <f>IF($B26="","",MAX($B$4:$B26))</f>
        <v/>
      </c>
      <c r="G26" s="14">
        <f>IF($B26="","",IFERROR($B26/MAX($B$4:$B26)-1,0))</f>
        <v/>
      </c>
      <c r="H26" s="26" t="n"/>
    </row>
    <row r="27">
      <c r="A27" s="23" t="n">
        <v>46283</v>
      </c>
      <c r="B27" s="24" t="n"/>
      <c r="C27" s="24" t="n"/>
      <c r="D27" s="12">
        <f>IF($B27="","",SUM($C$4:$C27))</f>
        <v/>
      </c>
      <c r="E27" s="12">
        <f>IF($B27="","",$B27-$D27)</f>
        <v/>
      </c>
      <c r="F27" s="12">
        <f>IF($B27="","",MAX($B$4:$B27))</f>
        <v/>
      </c>
      <c r="G27" s="14">
        <f>IF($B27="","",IFERROR($B27/MAX($B$4:$B27)-1,0))</f>
        <v/>
      </c>
      <c r="H27" s="26" t="n"/>
    </row>
    <row r="28">
      <c r="A28" s="23" t="n">
        <v>46284</v>
      </c>
      <c r="B28" s="24" t="n"/>
      <c r="C28" s="24" t="n"/>
      <c r="D28" s="12">
        <f>IF($B28="","",SUM($C$4:$C28))</f>
        <v/>
      </c>
      <c r="E28" s="12">
        <f>IF($B28="","",$B28-$D28)</f>
        <v/>
      </c>
      <c r="F28" s="12">
        <f>IF($B28="","",MAX($B$4:$B28))</f>
        <v/>
      </c>
      <c r="G28" s="14">
        <f>IF($B28="","",IFERROR($B28/MAX($B$4:$B28)-1,0))</f>
        <v/>
      </c>
      <c r="H28" s="26" t="n"/>
    </row>
    <row r="29">
      <c r="A29" s="23" t="n">
        <v>46285</v>
      </c>
      <c r="B29" s="24" t="n"/>
      <c r="C29" s="24" t="n"/>
      <c r="D29" s="12">
        <f>IF($B29="","",SUM($C$4:$C29))</f>
        <v/>
      </c>
      <c r="E29" s="12">
        <f>IF($B29="","",$B29-$D29)</f>
        <v/>
      </c>
      <c r="F29" s="12">
        <f>IF($B29="","",MAX($B$4:$B29))</f>
        <v/>
      </c>
      <c r="G29" s="14">
        <f>IF($B29="","",IFERROR($B29/MAX($B$4:$B29)-1,0))</f>
        <v/>
      </c>
      <c r="H29" s="26" t="n"/>
    </row>
    <row r="30">
      <c r="A30" s="23" t="n">
        <v>46286</v>
      </c>
      <c r="B30" s="24" t="n"/>
      <c r="C30" s="24" t="n"/>
      <c r="D30" s="12">
        <f>IF($B30="","",SUM($C$4:$C30))</f>
        <v/>
      </c>
      <c r="E30" s="12">
        <f>IF($B30="","",$B30-$D30)</f>
        <v/>
      </c>
      <c r="F30" s="12">
        <f>IF($B30="","",MAX($B$4:$B30))</f>
        <v/>
      </c>
      <c r="G30" s="14">
        <f>IF($B30="","",IFERROR($B30/MAX($B$4:$B30)-1,0))</f>
        <v/>
      </c>
      <c r="H30" s="26" t="n"/>
    </row>
    <row r="31">
      <c r="A31" s="23" t="n">
        <v>46287</v>
      </c>
      <c r="B31" s="24" t="n"/>
      <c r="C31" s="24" t="n"/>
      <c r="D31" s="12">
        <f>IF($B31="","",SUM($C$4:$C31))</f>
        <v/>
      </c>
      <c r="E31" s="12">
        <f>IF($B31="","",$B31-$D31)</f>
        <v/>
      </c>
      <c r="F31" s="12">
        <f>IF($B31="","",MAX($B$4:$B31))</f>
        <v/>
      </c>
      <c r="G31" s="14">
        <f>IF($B31="","",IFERROR($B31/MAX($B$4:$B31)-1,0))</f>
        <v/>
      </c>
      <c r="H31" s="26" t="n"/>
    </row>
    <row r="32">
      <c r="A32" s="23" t="n">
        <v>46288</v>
      </c>
      <c r="B32" s="24" t="n"/>
      <c r="C32" s="24" t="n"/>
      <c r="D32" s="12">
        <f>IF($B32="","",SUM($C$4:$C32))</f>
        <v/>
      </c>
      <c r="E32" s="12">
        <f>IF($B32="","",$B32-$D32)</f>
        <v/>
      </c>
      <c r="F32" s="12">
        <f>IF($B32="","",MAX($B$4:$B32))</f>
        <v/>
      </c>
      <c r="G32" s="14">
        <f>IF($B32="","",IFERROR($B32/MAX($B$4:$B32)-1,0))</f>
        <v/>
      </c>
      <c r="H32" s="26" t="n"/>
    </row>
    <row r="33">
      <c r="A33" s="23" t="n">
        <v>46289</v>
      </c>
      <c r="B33" s="24" t="n"/>
      <c r="C33" s="24" t="n"/>
      <c r="D33" s="12">
        <f>IF($B33="","",SUM($C$4:$C33))</f>
        <v/>
      </c>
      <c r="E33" s="12">
        <f>IF($B33="","",$B33-$D33)</f>
        <v/>
      </c>
      <c r="F33" s="12">
        <f>IF($B33="","",MAX($B$4:$B33))</f>
        <v/>
      </c>
      <c r="G33" s="14">
        <f>IF($B33="","",IFERROR($B33/MAX($B$4:$B33)-1,0))</f>
        <v/>
      </c>
      <c r="H33" s="26" t="n"/>
    </row>
    <row r="34">
      <c r="A34" s="23" t="n">
        <v>46290</v>
      </c>
      <c r="B34" s="24" t="n"/>
      <c r="C34" s="24" t="n"/>
      <c r="D34" s="12">
        <f>IF($B34="","",SUM($C$4:$C34))</f>
        <v/>
      </c>
      <c r="E34" s="12">
        <f>IF($B34="","",$B34-$D34)</f>
        <v/>
      </c>
      <c r="F34" s="12">
        <f>IF($B34="","",MAX($B$4:$B34))</f>
        <v/>
      </c>
      <c r="G34" s="14">
        <f>IF($B34="","",IFERROR($B34/MAX($B$4:$B34)-1,0))</f>
        <v/>
      </c>
      <c r="H34" s="26" t="n"/>
    </row>
    <row r="35">
      <c r="A35" s="23" t="n">
        <v>46291</v>
      </c>
      <c r="B35" s="24" t="n"/>
      <c r="C35" s="24" t="n"/>
      <c r="D35" s="12">
        <f>IF($B35="","",SUM($C$4:$C35))</f>
        <v/>
      </c>
      <c r="E35" s="12">
        <f>IF($B35="","",$B35-$D35)</f>
        <v/>
      </c>
      <c r="F35" s="12">
        <f>IF($B35="","",MAX($B$4:$B35))</f>
        <v/>
      </c>
      <c r="G35" s="14">
        <f>IF($B35="","",IFERROR($B35/MAX($B$4:$B35)-1,0))</f>
        <v/>
      </c>
      <c r="H35" s="26" t="n"/>
    </row>
    <row r="36">
      <c r="A36" s="23" t="n">
        <v>46292</v>
      </c>
      <c r="B36" s="24" t="n"/>
      <c r="C36" s="24" t="n"/>
      <c r="D36" s="12">
        <f>IF($B36="","",SUM($C$4:$C36))</f>
        <v/>
      </c>
      <c r="E36" s="12">
        <f>IF($B36="","",$B36-$D36)</f>
        <v/>
      </c>
      <c r="F36" s="12">
        <f>IF($B36="","",MAX($B$4:$B36))</f>
        <v/>
      </c>
      <c r="G36" s="14">
        <f>IF($B36="","",IFERROR($B36/MAX($B$4:$B36)-1,0))</f>
        <v/>
      </c>
      <c r="H36" s="26" t="n"/>
    </row>
    <row r="37">
      <c r="A37" s="23" t="n">
        <v>46293</v>
      </c>
      <c r="B37" s="24" t="n"/>
      <c r="C37" s="24" t="n"/>
      <c r="D37" s="12">
        <f>IF($B37="","",SUM($C$4:$C37))</f>
        <v/>
      </c>
      <c r="E37" s="12">
        <f>IF($B37="","",$B37-$D37)</f>
        <v/>
      </c>
      <c r="F37" s="12">
        <f>IF($B37="","",MAX($B$4:$B37))</f>
        <v/>
      </c>
      <c r="G37" s="14">
        <f>IF($B37="","",IFERROR($B37/MAX($B$4:$B37)-1,0))</f>
        <v/>
      </c>
      <c r="H37" s="26" t="n"/>
    </row>
    <row r="38">
      <c r="A38" s="23" t="n">
        <v>46294</v>
      </c>
      <c r="B38" s="24" t="n"/>
      <c r="C38" s="24" t="n"/>
      <c r="D38" s="12">
        <f>IF($B38="","",SUM($C$4:$C38))</f>
        <v/>
      </c>
      <c r="E38" s="12">
        <f>IF($B38="","",$B38-$D38)</f>
        <v/>
      </c>
      <c r="F38" s="12">
        <f>IF($B38="","",MAX($B$4:$B38))</f>
        <v/>
      </c>
      <c r="G38" s="14">
        <f>IF($B38="","",IFERROR($B38/MAX($B$4:$B38)-1,0))</f>
        <v/>
      </c>
      <c r="H38" s="26" t="n"/>
    </row>
    <row r="39">
      <c r="A39" s="23" t="n">
        <v>46295</v>
      </c>
      <c r="B39" s="24" t="n"/>
      <c r="C39" s="24" t="n"/>
      <c r="D39" s="12">
        <f>IF($B39="","",SUM($C$4:$C39))</f>
        <v/>
      </c>
      <c r="E39" s="12">
        <f>IF($B39="","",$B39-$D39)</f>
        <v/>
      </c>
      <c r="F39" s="12">
        <f>IF($B39="","",MAX($B$4:$B39))</f>
        <v/>
      </c>
      <c r="G39" s="14">
        <f>IF($B39="","",IFERROR($B39/MAX($B$4:$B39)-1,0))</f>
        <v/>
      </c>
      <c r="H39" s="26" t="n"/>
    </row>
    <row r="40">
      <c r="A40" s="31" t="n">
        <v>46296</v>
      </c>
      <c r="B40" s="24" t="n"/>
      <c r="C40" s="24" t="n"/>
      <c r="D40" s="12">
        <f>IF($B40="","",SUM($C$4:$C40))</f>
        <v/>
      </c>
      <c r="E40" s="12">
        <f>IF($B40="","",$B40-$D40)</f>
        <v/>
      </c>
      <c r="F40" s="12">
        <f>IF($B40="","",MAX($B$4:$B40))</f>
        <v/>
      </c>
      <c r="G40" s="14">
        <f>IF($B40="","",IFERROR($B40/MAX($B$4:$B40)-1,0))</f>
        <v/>
      </c>
      <c r="H40" s="26" t="n"/>
    </row>
    <row r="41">
      <c r="A41" s="23" t="n">
        <v>46297</v>
      </c>
      <c r="B41" s="24" t="n"/>
      <c r="C41" s="24" t="n"/>
      <c r="D41" s="12">
        <f>IF($B41="","",SUM($C$4:$C41))</f>
        <v/>
      </c>
      <c r="E41" s="12">
        <f>IF($B41="","",$B41-$D41)</f>
        <v/>
      </c>
      <c r="F41" s="12">
        <f>IF($B41="","",MAX($B$4:$B41))</f>
        <v/>
      </c>
      <c r="G41" s="14">
        <f>IF($B41="","",IFERROR($B41/MAX($B$4:$B41)-1,0))</f>
        <v/>
      </c>
      <c r="H41" s="26" t="n"/>
    </row>
    <row r="42">
      <c r="A42" s="23" t="n">
        <v>46298</v>
      </c>
      <c r="B42" s="24" t="n"/>
      <c r="C42" s="24" t="n"/>
      <c r="D42" s="12">
        <f>IF($B42="","",SUM($C$4:$C42))</f>
        <v/>
      </c>
      <c r="E42" s="12">
        <f>IF($B42="","",$B42-$D42)</f>
        <v/>
      </c>
      <c r="F42" s="12">
        <f>IF($B42="","",MAX($B$4:$B42))</f>
        <v/>
      </c>
      <c r="G42" s="14">
        <f>IF($B42="","",IFERROR($B42/MAX($B$4:$B42)-1,0))</f>
        <v/>
      </c>
      <c r="H42" s="26" t="n"/>
    </row>
    <row r="43">
      <c r="A43" s="23" t="n">
        <v>46299</v>
      </c>
      <c r="B43" s="24" t="n"/>
      <c r="C43" s="24" t="n"/>
      <c r="D43" s="12">
        <f>IF($B43="","",SUM($C$4:$C43))</f>
        <v/>
      </c>
      <c r="E43" s="12">
        <f>IF($B43="","",$B43-$D43)</f>
        <v/>
      </c>
      <c r="F43" s="12">
        <f>IF($B43="","",MAX($B$4:$B43))</f>
        <v/>
      </c>
      <c r="G43" s="14">
        <f>IF($B43="","",IFERROR($B43/MAX($B$4:$B43)-1,0))</f>
        <v/>
      </c>
      <c r="H43" s="26" t="n"/>
    </row>
    <row r="44">
      <c r="A44" s="23" t="n">
        <v>46300</v>
      </c>
      <c r="B44" s="24" t="n"/>
      <c r="C44" s="24" t="n"/>
      <c r="D44" s="12">
        <f>IF($B44="","",SUM($C$4:$C44))</f>
        <v/>
      </c>
      <c r="E44" s="12">
        <f>IF($B44="","",$B44-$D44)</f>
        <v/>
      </c>
      <c r="F44" s="12">
        <f>IF($B44="","",MAX($B$4:$B44))</f>
        <v/>
      </c>
      <c r="G44" s="14">
        <f>IF($B44="","",IFERROR($B44/MAX($B$4:$B44)-1,0))</f>
        <v/>
      </c>
      <c r="H44" s="26" t="n"/>
    </row>
    <row r="45">
      <c r="A45" s="23" t="n">
        <v>46301</v>
      </c>
      <c r="B45" s="24" t="n"/>
      <c r="C45" s="24" t="n"/>
      <c r="D45" s="12">
        <f>IF($B45="","",SUM($C$4:$C45))</f>
        <v/>
      </c>
      <c r="E45" s="12">
        <f>IF($B45="","",$B45-$D45)</f>
        <v/>
      </c>
      <c r="F45" s="12">
        <f>IF($B45="","",MAX($B$4:$B45))</f>
        <v/>
      </c>
      <c r="G45" s="14">
        <f>IF($B45="","",IFERROR($B45/MAX($B$4:$B45)-1,0))</f>
        <v/>
      </c>
      <c r="H45" s="26" t="n"/>
    </row>
    <row r="46">
      <c r="A46" s="23" t="n">
        <v>46302</v>
      </c>
      <c r="B46" s="24" t="n"/>
      <c r="C46" s="24" t="n"/>
      <c r="D46" s="12">
        <f>IF($B46="","",SUM($C$4:$C46))</f>
        <v/>
      </c>
      <c r="E46" s="12">
        <f>IF($B46="","",$B46-$D46)</f>
        <v/>
      </c>
      <c r="F46" s="12">
        <f>IF($B46="","",MAX($B$4:$B46))</f>
        <v/>
      </c>
      <c r="G46" s="14">
        <f>IF($B46="","",IFERROR($B46/MAX($B$4:$B46)-1,0))</f>
        <v/>
      </c>
      <c r="H46" s="26" t="n"/>
    </row>
    <row r="47">
      <c r="A47" s="23" t="n">
        <v>46303</v>
      </c>
      <c r="B47" s="24" t="n"/>
      <c r="C47" s="24" t="n"/>
      <c r="D47" s="12">
        <f>IF($B47="","",SUM($C$4:$C47))</f>
        <v/>
      </c>
      <c r="E47" s="12">
        <f>IF($B47="","",$B47-$D47)</f>
        <v/>
      </c>
      <c r="F47" s="12">
        <f>IF($B47="","",MAX($B$4:$B47))</f>
        <v/>
      </c>
      <c r="G47" s="14">
        <f>IF($B47="","",IFERROR($B47/MAX($B$4:$B47)-1,0))</f>
        <v/>
      </c>
      <c r="H47" s="26" t="n"/>
    </row>
    <row r="48">
      <c r="A48" s="23" t="n">
        <v>46304</v>
      </c>
      <c r="B48" s="24" t="n"/>
      <c r="C48" s="24" t="n"/>
      <c r="D48" s="12">
        <f>IF($B48="","",SUM($C$4:$C48))</f>
        <v/>
      </c>
      <c r="E48" s="12">
        <f>IF($B48="","",$B48-$D48)</f>
        <v/>
      </c>
      <c r="F48" s="12">
        <f>IF($B48="","",MAX($B$4:$B48))</f>
        <v/>
      </c>
      <c r="G48" s="14">
        <f>IF($B48="","",IFERROR($B48/MAX($B$4:$B48)-1,0))</f>
        <v/>
      </c>
      <c r="H48" s="26" t="n"/>
    </row>
    <row r="49">
      <c r="A49" s="23" t="n">
        <v>46305</v>
      </c>
      <c r="B49" s="24" t="n"/>
      <c r="C49" s="24" t="n"/>
      <c r="D49" s="12">
        <f>IF($B49="","",SUM($C$4:$C49))</f>
        <v/>
      </c>
      <c r="E49" s="12">
        <f>IF($B49="","",$B49-$D49)</f>
        <v/>
      </c>
      <c r="F49" s="12">
        <f>IF($B49="","",MAX($B$4:$B49))</f>
        <v/>
      </c>
      <c r="G49" s="14">
        <f>IF($B49="","",IFERROR($B49/MAX($B$4:$B49)-1,0))</f>
        <v/>
      </c>
      <c r="H49" s="26" t="n"/>
    </row>
    <row r="50">
      <c r="A50" s="23" t="n">
        <v>46306</v>
      </c>
      <c r="B50" s="24" t="n"/>
      <c r="C50" s="24" t="n"/>
      <c r="D50" s="12">
        <f>IF($B50="","",SUM($C$4:$C50))</f>
        <v/>
      </c>
      <c r="E50" s="12">
        <f>IF($B50="","",$B50-$D50)</f>
        <v/>
      </c>
      <c r="F50" s="12">
        <f>IF($B50="","",MAX($B$4:$B50))</f>
        <v/>
      </c>
      <c r="G50" s="14">
        <f>IF($B50="","",IFERROR($B50/MAX($B$4:$B50)-1,0))</f>
        <v/>
      </c>
      <c r="H50" s="26" t="n"/>
    </row>
    <row r="51">
      <c r="A51" s="23" t="n">
        <v>46307</v>
      </c>
      <c r="B51" s="24" t="n"/>
      <c r="C51" s="24" t="n"/>
      <c r="D51" s="12">
        <f>IF($B51="","",SUM($C$4:$C51))</f>
        <v/>
      </c>
      <c r="E51" s="12">
        <f>IF($B51="","",$B51-$D51)</f>
        <v/>
      </c>
      <c r="F51" s="12">
        <f>IF($B51="","",MAX($B$4:$B51))</f>
        <v/>
      </c>
      <c r="G51" s="14">
        <f>IF($B51="","",IFERROR($B51/MAX($B$4:$B51)-1,0))</f>
        <v/>
      </c>
      <c r="H51" s="26" t="n"/>
    </row>
    <row r="52">
      <c r="A52" s="23" t="n">
        <v>46308</v>
      </c>
      <c r="B52" s="24" t="n"/>
      <c r="C52" s="24" t="n"/>
      <c r="D52" s="12">
        <f>IF($B52="","",SUM($C$4:$C52))</f>
        <v/>
      </c>
      <c r="E52" s="12">
        <f>IF($B52="","",$B52-$D52)</f>
        <v/>
      </c>
      <c r="F52" s="12">
        <f>IF($B52="","",MAX($B$4:$B52))</f>
        <v/>
      </c>
      <c r="G52" s="14">
        <f>IF($B52="","",IFERROR($B52/MAX($B$4:$B52)-1,0))</f>
        <v/>
      </c>
      <c r="H52" s="26" t="n"/>
    </row>
    <row r="53">
      <c r="A53" s="23" t="n">
        <v>46309</v>
      </c>
      <c r="B53" s="24" t="n"/>
      <c r="C53" s="24" t="n"/>
      <c r="D53" s="12">
        <f>IF($B53="","",SUM($C$4:$C53))</f>
        <v/>
      </c>
      <c r="E53" s="12">
        <f>IF($B53="","",$B53-$D53)</f>
        <v/>
      </c>
      <c r="F53" s="12">
        <f>IF($B53="","",MAX($B$4:$B53))</f>
        <v/>
      </c>
      <c r="G53" s="14">
        <f>IF($B53="","",IFERROR($B53/MAX($B$4:$B53)-1,0))</f>
        <v/>
      </c>
      <c r="H53" s="26" t="n"/>
    </row>
    <row r="54">
      <c r="A54" s="23" t="n">
        <v>46310</v>
      </c>
      <c r="B54" s="24" t="n"/>
      <c r="C54" s="24" t="n"/>
      <c r="D54" s="12">
        <f>IF($B54="","",SUM($C$4:$C54))</f>
        <v/>
      </c>
      <c r="E54" s="12">
        <f>IF($B54="","",$B54-$D54)</f>
        <v/>
      </c>
      <c r="F54" s="12">
        <f>IF($B54="","",MAX($B$4:$B54))</f>
        <v/>
      </c>
      <c r="G54" s="14">
        <f>IF($B54="","",IFERROR($B54/MAX($B$4:$B54)-1,0))</f>
        <v/>
      </c>
      <c r="H54" s="26" t="n"/>
    </row>
    <row r="55">
      <c r="A55" s="31" t="n">
        <v>46311</v>
      </c>
      <c r="B55" s="24" t="n"/>
      <c r="C55" s="24" t="n"/>
      <c r="D55" s="12">
        <f>IF($B55="","",SUM($C$4:$C55))</f>
        <v/>
      </c>
      <c r="E55" s="12">
        <f>IF($B55="","",$B55-$D55)</f>
        <v/>
      </c>
      <c r="F55" s="12">
        <f>IF($B55="","",MAX($B$4:$B55))</f>
        <v/>
      </c>
      <c r="G55" s="14">
        <f>IF($B55="","",IFERROR($B55/MAX($B$4:$B55)-1,0))</f>
        <v/>
      </c>
      <c r="H55" s="26" t="n"/>
    </row>
    <row r="56">
      <c r="A56" s="23" t="n">
        <v>46312</v>
      </c>
      <c r="B56" s="24" t="n"/>
      <c r="C56" s="24" t="n"/>
      <c r="D56" s="12">
        <f>IF($B56="","",SUM($C$4:$C56))</f>
        <v/>
      </c>
      <c r="E56" s="12">
        <f>IF($B56="","",$B56-$D56)</f>
        <v/>
      </c>
      <c r="F56" s="12">
        <f>IF($B56="","",MAX($B$4:$B56))</f>
        <v/>
      </c>
      <c r="G56" s="14">
        <f>IF($B56="","",IFERROR($B56/MAX($B$4:$B56)-1,0))</f>
        <v/>
      </c>
      <c r="H56" s="26" t="n"/>
    </row>
    <row r="57">
      <c r="A57" s="23" t="n">
        <v>46313</v>
      </c>
      <c r="B57" s="24" t="n"/>
      <c r="C57" s="24" t="n"/>
      <c r="D57" s="12">
        <f>IF($B57="","",SUM($C$4:$C57))</f>
        <v/>
      </c>
      <c r="E57" s="12">
        <f>IF($B57="","",$B57-$D57)</f>
        <v/>
      </c>
      <c r="F57" s="12">
        <f>IF($B57="","",MAX($B$4:$B57))</f>
        <v/>
      </c>
      <c r="G57" s="14">
        <f>IF($B57="","",IFERROR($B57/MAX($B$4:$B57)-1,0))</f>
        <v/>
      </c>
      <c r="H57" s="26" t="n"/>
    </row>
    <row r="58">
      <c r="A58" s="23" t="n">
        <v>46314</v>
      </c>
      <c r="B58" s="24" t="n"/>
      <c r="C58" s="24" t="n"/>
      <c r="D58" s="12">
        <f>IF($B58="","",SUM($C$4:$C58))</f>
        <v/>
      </c>
      <c r="E58" s="12">
        <f>IF($B58="","",$B58-$D58)</f>
        <v/>
      </c>
      <c r="F58" s="12">
        <f>IF($B58="","",MAX($B$4:$B58))</f>
        <v/>
      </c>
      <c r="G58" s="14">
        <f>IF($B58="","",IFERROR($B58/MAX($B$4:$B58)-1,0))</f>
        <v/>
      </c>
      <c r="H58" s="26" t="n"/>
    </row>
    <row r="59">
      <c r="A59" s="23" t="n">
        <v>46315</v>
      </c>
      <c r="B59" s="24" t="n"/>
      <c r="C59" s="24" t="n"/>
      <c r="D59" s="12">
        <f>IF($B59="","",SUM($C$4:$C59))</f>
        <v/>
      </c>
      <c r="E59" s="12">
        <f>IF($B59="","",$B59-$D59)</f>
        <v/>
      </c>
      <c r="F59" s="12">
        <f>IF($B59="","",MAX($B$4:$B59))</f>
        <v/>
      </c>
      <c r="G59" s="14">
        <f>IF($B59="","",IFERROR($B59/MAX($B$4:$B59)-1,0))</f>
        <v/>
      </c>
      <c r="H59" s="26" t="n"/>
    </row>
    <row r="60">
      <c r="A60" s="23" t="n">
        <v>46316</v>
      </c>
      <c r="B60" s="24" t="n"/>
      <c r="C60" s="24" t="n"/>
      <c r="D60" s="12">
        <f>IF($B60="","",SUM($C$4:$C60))</f>
        <v/>
      </c>
      <c r="E60" s="12">
        <f>IF($B60="","",$B60-$D60)</f>
        <v/>
      </c>
      <c r="F60" s="12">
        <f>IF($B60="","",MAX($B$4:$B60))</f>
        <v/>
      </c>
      <c r="G60" s="14">
        <f>IF($B60="","",IFERROR($B60/MAX($B$4:$B60)-1,0))</f>
        <v/>
      </c>
      <c r="H60" s="26" t="n"/>
    </row>
    <row r="61">
      <c r="A61" s="23" t="n">
        <v>46317</v>
      </c>
      <c r="B61" s="24" t="n"/>
      <c r="C61" s="24" t="n"/>
      <c r="D61" s="12">
        <f>IF($B61="","",SUM($C$4:$C61))</f>
        <v/>
      </c>
      <c r="E61" s="12">
        <f>IF($B61="","",$B61-$D61)</f>
        <v/>
      </c>
      <c r="F61" s="12">
        <f>IF($B61="","",MAX($B$4:$B61))</f>
        <v/>
      </c>
      <c r="G61" s="14">
        <f>IF($B61="","",IFERROR($B61/MAX($B$4:$B61)-1,0))</f>
        <v/>
      </c>
      <c r="H61" s="26" t="n"/>
    </row>
    <row r="62">
      <c r="A62" s="23" t="n">
        <v>46318</v>
      </c>
      <c r="B62" s="24" t="n"/>
      <c r="C62" s="24" t="n"/>
      <c r="D62" s="12">
        <f>IF($B62="","",SUM($C$4:$C62))</f>
        <v/>
      </c>
      <c r="E62" s="12">
        <f>IF($B62="","",$B62-$D62)</f>
        <v/>
      </c>
      <c r="F62" s="12">
        <f>IF($B62="","",MAX($B$4:$B62))</f>
        <v/>
      </c>
      <c r="G62" s="14">
        <f>IF($B62="","",IFERROR($B62/MAX($B$4:$B62)-1,0))</f>
        <v/>
      </c>
      <c r="H62" s="26" t="n"/>
    </row>
    <row r="63">
      <c r="A63" s="23" t="n">
        <v>46319</v>
      </c>
      <c r="B63" s="24" t="n"/>
      <c r="C63" s="24" t="n"/>
      <c r="D63" s="12">
        <f>IF($B63="","",SUM($C$4:$C63))</f>
        <v/>
      </c>
      <c r="E63" s="12">
        <f>IF($B63="","",$B63-$D63)</f>
        <v/>
      </c>
      <c r="F63" s="12">
        <f>IF($B63="","",MAX($B$4:$B63))</f>
        <v/>
      </c>
      <c r="G63" s="14">
        <f>IF($B63="","",IFERROR($B63/MAX($B$4:$B63)-1,0))</f>
        <v/>
      </c>
      <c r="H63" s="26" t="n"/>
    </row>
    <row r="64">
      <c r="A64" s="23" t="n">
        <v>46320</v>
      </c>
      <c r="B64" s="24" t="n"/>
      <c r="C64" s="24" t="n"/>
      <c r="D64" s="12">
        <f>IF($B64="","",SUM($C$4:$C64))</f>
        <v/>
      </c>
      <c r="E64" s="12">
        <f>IF($B64="","",$B64-$D64)</f>
        <v/>
      </c>
      <c r="F64" s="12">
        <f>IF($B64="","",MAX($B$4:$B64))</f>
        <v/>
      </c>
      <c r="G64" s="14">
        <f>IF($B64="","",IFERROR($B64/MAX($B$4:$B64)-1,0))</f>
        <v/>
      </c>
      <c r="H64" s="26" t="n"/>
    </row>
    <row r="65">
      <c r="A65" s="23" t="n">
        <v>46321</v>
      </c>
      <c r="B65" s="24" t="n"/>
      <c r="C65" s="24" t="n"/>
      <c r="D65" s="12">
        <f>IF($B65="","",SUM($C$4:$C65))</f>
        <v/>
      </c>
      <c r="E65" s="12">
        <f>IF($B65="","",$B65-$D65)</f>
        <v/>
      </c>
      <c r="F65" s="12">
        <f>IF($B65="","",MAX($B$4:$B65))</f>
        <v/>
      </c>
      <c r="G65" s="14">
        <f>IF($B65="","",IFERROR($B65/MAX($B$4:$B65)-1,0))</f>
        <v/>
      </c>
      <c r="H65" s="26" t="n"/>
    </row>
    <row r="66">
      <c r="A66" s="23" t="n">
        <v>46322</v>
      </c>
      <c r="B66" s="24" t="n"/>
      <c r="C66" s="24" t="n"/>
      <c r="D66" s="12">
        <f>IF($B66="","",SUM($C$4:$C66))</f>
        <v/>
      </c>
      <c r="E66" s="12">
        <f>IF($B66="","",$B66-$D66)</f>
        <v/>
      </c>
      <c r="F66" s="12">
        <f>IF($B66="","",MAX($B$4:$B66))</f>
        <v/>
      </c>
      <c r="G66" s="14">
        <f>IF($B66="","",IFERROR($B66/MAX($B$4:$B66)-1,0))</f>
        <v/>
      </c>
      <c r="H66" s="26" t="n"/>
    </row>
    <row r="67">
      <c r="A67" s="23" t="n">
        <v>46323</v>
      </c>
      <c r="B67" s="24" t="n"/>
      <c r="C67" s="24" t="n"/>
      <c r="D67" s="12">
        <f>IF($B67="","",SUM($C$4:$C67))</f>
        <v/>
      </c>
      <c r="E67" s="12">
        <f>IF($B67="","",$B67-$D67)</f>
        <v/>
      </c>
      <c r="F67" s="12">
        <f>IF($B67="","",MAX($B$4:$B67))</f>
        <v/>
      </c>
      <c r="G67" s="14">
        <f>IF($B67="","",IFERROR($B67/MAX($B$4:$B67)-1,0))</f>
        <v/>
      </c>
      <c r="H67" s="26" t="n"/>
    </row>
    <row r="68">
      <c r="A68" s="23" t="n">
        <v>46324</v>
      </c>
      <c r="B68" s="24" t="n"/>
      <c r="C68" s="24" t="n"/>
      <c r="D68" s="12">
        <f>IF($B68="","",SUM($C$4:$C68))</f>
        <v/>
      </c>
      <c r="E68" s="12">
        <f>IF($B68="","",$B68-$D68)</f>
        <v/>
      </c>
      <c r="F68" s="12">
        <f>IF($B68="","",MAX($B$4:$B68))</f>
        <v/>
      </c>
      <c r="G68" s="14">
        <f>IF($B68="","",IFERROR($B68/MAX($B$4:$B68)-1,0))</f>
        <v/>
      </c>
      <c r="H68" s="26" t="n"/>
    </row>
    <row r="69">
      <c r="A69" s="23" t="n">
        <v>46325</v>
      </c>
      <c r="B69" s="24" t="n"/>
      <c r="C69" s="24" t="n"/>
      <c r="D69" s="12">
        <f>IF($B69="","",SUM($C$4:$C69))</f>
        <v/>
      </c>
      <c r="E69" s="12">
        <f>IF($B69="","",$B69-$D69)</f>
        <v/>
      </c>
      <c r="F69" s="12">
        <f>IF($B69="","",MAX($B$4:$B69))</f>
        <v/>
      </c>
      <c r="G69" s="14">
        <f>IF($B69="","",IFERROR($B69/MAX($B$4:$B69)-1,0))</f>
        <v/>
      </c>
      <c r="H69" s="26" t="n"/>
    </row>
    <row r="70">
      <c r="A70" s="23" t="n">
        <v>46326</v>
      </c>
      <c r="B70" s="24" t="n"/>
      <c r="C70" s="24" t="n"/>
      <c r="D70" s="12">
        <f>IF($B70="","",SUM($C$4:$C70))</f>
        <v/>
      </c>
      <c r="E70" s="12">
        <f>IF($B70="","",$B70-$D70)</f>
        <v/>
      </c>
      <c r="F70" s="12">
        <f>IF($B70="","",MAX($B$4:$B70))</f>
        <v/>
      </c>
      <c r="G70" s="14">
        <f>IF($B70="","",IFERROR($B70/MAX($B$4:$B70)-1,0))</f>
        <v/>
      </c>
      <c r="H70" s="26" t="n"/>
    </row>
    <row r="71">
      <c r="A71" s="31" t="n">
        <v>46327</v>
      </c>
      <c r="B71" s="24" t="n"/>
      <c r="C71" s="24" t="n"/>
      <c r="D71" s="12">
        <f>IF($B71="","",SUM($C$4:$C71))</f>
        <v/>
      </c>
      <c r="E71" s="12">
        <f>IF($B71="","",$B71-$D71)</f>
        <v/>
      </c>
      <c r="F71" s="12">
        <f>IF($B71="","",MAX($B$4:$B71))</f>
        <v/>
      </c>
      <c r="G71" s="14">
        <f>IF($B71="","",IFERROR($B71/MAX($B$4:$B71)-1,0))</f>
        <v/>
      </c>
      <c r="H71" s="26" t="n"/>
    </row>
    <row r="72">
      <c r="A72" s="23" t="n">
        <v>46328</v>
      </c>
      <c r="B72" s="24" t="n"/>
      <c r="C72" s="24" t="n"/>
      <c r="D72" s="12">
        <f>IF($B72="","",SUM($C$4:$C72))</f>
        <v/>
      </c>
      <c r="E72" s="12">
        <f>IF($B72="","",$B72-$D72)</f>
        <v/>
      </c>
      <c r="F72" s="12">
        <f>IF($B72="","",MAX($B$4:$B72))</f>
        <v/>
      </c>
      <c r="G72" s="14">
        <f>IF($B72="","",IFERROR($B72/MAX($B$4:$B72)-1,0))</f>
        <v/>
      </c>
      <c r="H72" s="26" t="n"/>
    </row>
    <row r="73">
      <c r="A73" s="23" t="n">
        <v>46329</v>
      </c>
      <c r="B73" s="24" t="n"/>
      <c r="C73" s="24" t="n"/>
      <c r="D73" s="12">
        <f>IF($B73="","",SUM($C$4:$C73))</f>
        <v/>
      </c>
      <c r="E73" s="12">
        <f>IF($B73="","",$B73-$D73)</f>
        <v/>
      </c>
      <c r="F73" s="12">
        <f>IF($B73="","",MAX($B$4:$B73))</f>
        <v/>
      </c>
      <c r="G73" s="14">
        <f>IF($B73="","",IFERROR($B73/MAX($B$4:$B73)-1,0))</f>
        <v/>
      </c>
      <c r="H73" s="26" t="n"/>
    </row>
    <row r="74">
      <c r="A74" s="23" t="n">
        <v>46330</v>
      </c>
      <c r="B74" s="24" t="n"/>
      <c r="C74" s="24" t="n"/>
      <c r="D74" s="12">
        <f>IF($B74="","",SUM($C$4:$C74))</f>
        <v/>
      </c>
      <c r="E74" s="12">
        <f>IF($B74="","",$B74-$D74)</f>
        <v/>
      </c>
      <c r="F74" s="12">
        <f>IF($B74="","",MAX($B$4:$B74))</f>
        <v/>
      </c>
      <c r="G74" s="14">
        <f>IF($B74="","",IFERROR($B74/MAX($B$4:$B74)-1,0))</f>
        <v/>
      </c>
      <c r="H74" s="26" t="n"/>
    </row>
    <row r="75">
      <c r="A75" s="23" t="n">
        <v>46331</v>
      </c>
      <c r="B75" s="24" t="n"/>
      <c r="C75" s="24" t="n"/>
      <c r="D75" s="12">
        <f>IF($B75="","",SUM($C$4:$C75))</f>
        <v/>
      </c>
      <c r="E75" s="12">
        <f>IF($B75="","",$B75-$D75)</f>
        <v/>
      </c>
      <c r="F75" s="12">
        <f>IF($B75="","",MAX($B$4:$B75))</f>
        <v/>
      </c>
      <c r="G75" s="14">
        <f>IF($B75="","",IFERROR($B75/MAX($B$4:$B75)-1,0))</f>
        <v/>
      </c>
      <c r="H75" s="26" t="n"/>
    </row>
    <row r="76">
      <c r="A76" s="23" t="n">
        <v>46332</v>
      </c>
      <c r="B76" s="24" t="n"/>
      <c r="C76" s="24" t="n"/>
      <c r="D76" s="12">
        <f>IF($B76="","",SUM($C$4:$C76))</f>
        <v/>
      </c>
      <c r="E76" s="12">
        <f>IF($B76="","",$B76-$D76)</f>
        <v/>
      </c>
      <c r="F76" s="12">
        <f>IF($B76="","",MAX($B$4:$B76))</f>
        <v/>
      </c>
      <c r="G76" s="14">
        <f>IF($B76="","",IFERROR($B76/MAX($B$4:$B76)-1,0))</f>
        <v/>
      </c>
      <c r="H76" s="26" t="n"/>
    </row>
    <row r="77">
      <c r="A77" s="23" t="n">
        <v>46333</v>
      </c>
      <c r="B77" s="24" t="n"/>
      <c r="C77" s="24" t="n"/>
      <c r="D77" s="12">
        <f>IF($B77="","",SUM($C$4:$C77))</f>
        <v/>
      </c>
      <c r="E77" s="12">
        <f>IF($B77="","",$B77-$D77)</f>
        <v/>
      </c>
      <c r="F77" s="12">
        <f>IF($B77="","",MAX($B$4:$B77))</f>
        <v/>
      </c>
      <c r="G77" s="14">
        <f>IF($B77="","",IFERROR($B77/MAX($B$4:$B77)-1,0))</f>
        <v/>
      </c>
      <c r="H77" s="26" t="n"/>
    </row>
    <row r="78">
      <c r="A78" s="23" t="n">
        <v>46334</v>
      </c>
      <c r="B78" s="24" t="n"/>
      <c r="C78" s="24" t="n"/>
      <c r="D78" s="12">
        <f>IF($B78="","",SUM($C$4:$C78))</f>
        <v/>
      </c>
      <c r="E78" s="12">
        <f>IF($B78="","",$B78-$D78)</f>
        <v/>
      </c>
      <c r="F78" s="12">
        <f>IF($B78="","",MAX($B$4:$B78))</f>
        <v/>
      </c>
      <c r="G78" s="14">
        <f>IF($B78="","",IFERROR($B78/MAX($B$4:$B78)-1,0))</f>
        <v/>
      </c>
      <c r="H78" s="26" t="n"/>
    </row>
    <row r="79">
      <c r="A79" s="23" t="n">
        <v>46335</v>
      </c>
      <c r="B79" s="24" t="n"/>
      <c r="C79" s="24" t="n"/>
      <c r="D79" s="12">
        <f>IF($B79="","",SUM($C$4:$C79))</f>
        <v/>
      </c>
      <c r="E79" s="12">
        <f>IF($B79="","",$B79-$D79)</f>
        <v/>
      </c>
      <c r="F79" s="12">
        <f>IF($B79="","",MAX($B$4:$B79))</f>
        <v/>
      </c>
      <c r="G79" s="14">
        <f>IF($B79="","",IFERROR($B79/MAX($B$4:$B79)-1,0))</f>
        <v/>
      </c>
      <c r="H79" s="26" t="n"/>
    </row>
    <row r="80">
      <c r="A80" s="23" t="n">
        <v>46336</v>
      </c>
      <c r="B80" s="24" t="n"/>
      <c r="C80" s="24" t="n"/>
      <c r="D80" s="12">
        <f>IF($B80="","",SUM($C$4:$C80))</f>
        <v/>
      </c>
      <c r="E80" s="12">
        <f>IF($B80="","",$B80-$D80)</f>
        <v/>
      </c>
      <c r="F80" s="12">
        <f>IF($B80="","",MAX($B$4:$B80))</f>
        <v/>
      </c>
      <c r="G80" s="14">
        <f>IF($B80="","",IFERROR($B80/MAX($B$4:$B80)-1,0))</f>
        <v/>
      </c>
      <c r="H80" s="26" t="n"/>
    </row>
    <row r="81">
      <c r="A81" s="23" t="n">
        <v>46337</v>
      </c>
      <c r="B81" s="24" t="n"/>
      <c r="C81" s="24" t="n"/>
      <c r="D81" s="12">
        <f>IF($B81="","",SUM($C$4:$C81))</f>
        <v/>
      </c>
      <c r="E81" s="12">
        <f>IF($B81="","",$B81-$D81)</f>
        <v/>
      </c>
      <c r="F81" s="12">
        <f>IF($B81="","",MAX($B$4:$B81))</f>
        <v/>
      </c>
      <c r="G81" s="14">
        <f>IF($B81="","",IFERROR($B81/MAX($B$4:$B81)-1,0))</f>
        <v/>
      </c>
      <c r="H81" s="26" t="n"/>
    </row>
    <row r="82">
      <c r="A82" s="23" t="n">
        <v>46338</v>
      </c>
      <c r="B82" s="24" t="n"/>
      <c r="C82" s="24" t="n"/>
      <c r="D82" s="12">
        <f>IF($B82="","",SUM($C$4:$C82))</f>
        <v/>
      </c>
      <c r="E82" s="12">
        <f>IF($B82="","",$B82-$D82)</f>
        <v/>
      </c>
      <c r="F82" s="12">
        <f>IF($B82="","",MAX($B$4:$B82))</f>
        <v/>
      </c>
      <c r="G82" s="14">
        <f>IF($B82="","",IFERROR($B82/MAX($B$4:$B82)-1,0))</f>
        <v/>
      </c>
      <c r="H82" s="26" t="n"/>
    </row>
    <row r="83">
      <c r="A83" s="23" t="n">
        <v>46339</v>
      </c>
      <c r="B83" s="24" t="n"/>
      <c r="C83" s="24" t="n"/>
      <c r="D83" s="12">
        <f>IF($B83="","",SUM($C$4:$C83))</f>
        <v/>
      </c>
      <c r="E83" s="12">
        <f>IF($B83="","",$B83-$D83)</f>
        <v/>
      </c>
      <c r="F83" s="12">
        <f>IF($B83="","",MAX($B$4:$B83))</f>
        <v/>
      </c>
      <c r="G83" s="14">
        <f>IF($B83="","",IFERROR($B83/MAX($B$4:$B83)-1,0))</f>
        <v/>
      </c>
      <c r="H83" s="26" t="n"/>
    </row>
    <row r="84">
      <c r="A84" s="23" t="n">
        <v>46340</v>
      </c>
      <c r="B84" s="24" t="n"/>
      <c r="C84" s="24" t="n"/>
      <c r="D84" s="12">
        <f>IF($B84="","",SUM($C$4:$C84))</f>
        <v/>
      </c>
      <c r="E84" s="12">
        <f>IF($B84="","",$B84-$D84)</f>
        <v/>
      </c>
      <c r="F84" s="12">
        <f>IF($B84="","",MAX($B$4:$B84))</f>
        <v/>
      </c>
      <c r="G84" s="14">
        <f>IF($B84="","",IFERROR($B84/MAX($B$4:$B84)-1,0))</f>
        <v/>
      </c>
      <c r="H84" s="26" t="n"/>
    </row>
    <row r="85">
      <c r="A85" s="23" t="n">
        <v>46341</v>
      </c>
      <c r="B85" s="24" t="n"/>
      <c r="C85" s="24" t="n"/>
      <c r="D85" s="12">
        <f>IF($B85="","",SUM($C$4:$C85))</f>
        <v/>
      </c>
      <c r="E85" s="12">
        <f>IF($B85="","",$B85-$D85)</f>
        <v/>
      </c>
      <c r="F85" s="12">
        <f>IF($B85="","",MAX($B$4:$B85))</f>
        <v/>
      </c>
      <c r="G85" s="14">
        <f>IF($B85="","",IFERROR($B85/MAX($B$4:$B85)-1,0))</f>
        <v/>
      </c>
      <c r="H85" s="26" t="n"/>
    </row>
    <row r="86">
      <c r="A86" s="31" t="n">
        <v>46342</v>
      </c>
      <c r="B86" s="24" t="n"/>
      <c r="C86" s="24" t="n"/>
      <c r="D86" s="12">
        <f>IF($B86="","",SUM($C$4:$C86))</f>
        <v/>
      </c>
      <c r="E86" s="12">
        <f>IF($B86="","",$B86-$D86)</f>
        <v/>
      </c>
      <c r="F86" s="12">
        <f>IF($B86="","",MAX($B$4:$B86))</f>
        <v/>
      </c>
      <c r="G86" s="14">
        <f>IF($B86="","",IFERROR($B86/MAX($B$4:$B86)-1,0))</f>
        <v/>
      </c>
      <c r="H86" s="26" t="n"/>
    </row>
    <row r="87">
      <c r="A87" s="23" t="n">
        <v>46343</v>
      </c>
      <c r="B87" s="24" t="n"/>
      <c r="C87" s="24" t="n"/>
      <c r="D87" s="12">
        <f>IF($B87="","",SUM($C$4:$C87))</f>
        <v/>
      </c>
      <c r="E87" s="12">
        <f>IF($B87="","",$B87-$D87)</f>
        <v/>
      </c>
      <c r="F87" s="12">
        <f>IF($B87="","",MAX($B$4:$B87))</f>
        <v/>
      </c>
      <c r="G87" s="14">
        <f>IF($B87="","",IFERROR($B87/MAX($B$4:$B87)-1,0))</f>
        <v/>
      </c>
      <c r="H87" s="26" t="n"/>
    </row>
    <row r="88">
      <c r="A88" s="23" t="n">
        <v>46344</v>
      </c>
      <c r="B88" s="24" t="n"/>
      <c r="C88" s="24" t="n"/>
      <c r="D88" s="12">
        <f>IF($B88="","",SUM($C$4:$C88))</f>
        <v/>
      </c>
      <c r="E88" s="12">
        <f>IF($B88="","",$B88-$D88)</f>
        <v/>
      </c>
      <c r="F88" s="12">
        <f>IF($B88="","",MAX($B$4:$B88))</f>
        <v/>
      </c>
      <c r="G88" s="14">
        <f>IF($B88="","",IFERROR($B88/MAX($B$4:$B88)-1,0))</f>
        <v/>
      </c>
      <c r="H88" s="26" t="n"/>
    </row>
    <row r="89">
      <c r="A89" s="23" t="n">
        <v>46345</v>
      </c>
      <c r="B89" s="24" t="n"/>
      <c r="C89" s="24" t="n"/>
      <c r="D89" s="12">
        <f>IF($B89="","",SUM($C$4:$C89))</f>
        <v/>
      </c>
      <c r="E89" s="12">
        <f>IF($B89="","",$B89-$D89)</f>
        <v/>
      </c>
      <c r="F89" s="12">
        <f>IF($B89="","",MAX($B$4:$B89))</f>
        <v/>
      </c>
      <c r="G89" s="14">
        <f>IF($B89="","",IFERROR($B89/MAX($B$4:$B89)-1,0))</f>
        <v/>
      </c>
      <c r="H89" s="26" t="n"/>
    </row>
    <row r="90">
      <c r="A90" s="23" t="n">
        <v>46346</v>
      </c>
      <c r="B90" s="24" t="n"/>
      <c r="C90" s="24" t="n"/>
      <c r="D90" s="12">
        <f>IF($B90="","",SUM($C$4:$C90))</f>
        <v/>
      </c>
      <c r="E90" s="12">
        <f>IF($B90="","",$B90-$D90)</f>
        <v/>
      </c>
      <c r="F90" s="12">
        <f>IF($B90="","",MAX($B$4:$B90))</f>
        <v/>
      </c>
      <c r="G90" s="14">
        <f>IF($B90="","",IFERROR($B90/MAX($B$4:$B90)-1,0))</f>
        <v/>
      </c>
      <c r="H90" s="26" t="n"/>
    </row>
    <row r="91">
      <c r="A91" s="23" t="n">
        <v>46347</v>
      </c>
      <c r="B91" s="24" t="n"/>
      <c r="C91" s="24" t="n"/>
      <c r="D91" s="12">
        <f>IF($B91="","",SUM($C$4:$C91))</f>
        <v/>
      </c>
      <c r="E91" s="12">
        <f>IF($B91="","",$B91-$D91)</f>
        <v/>
      </c>
      <c r="F91" s="12">
        <f>IF($B91="","",MAX($B$4:$B91))</f>
        <v/>
      </c>
      <c r="G91" s="14">
        <f>IF($B91="","",IFERROR($B91/MAX($B$4:$B91)-1,0))</f>
        <v/>
      </c>
      <c r="H91" s="26" t="n"/>
    </row>
    <row r="92">
      <c r="A92" s="23" t="n">
        <v>46348</v>
      </c>
      <c r="B92" s="24" t="n"/>
      <c r="C92" s="24" t="n"/>
      <c r="D92" s="12">
        <f>IF($B92="","",SUM($C$4:$C92))</f>
        <v/>
      </c>
      <c r="E92" s="12">
        <f>IF($B92="","",$B92-$D92)</f>
        <v/>
      </c>
      <c r="F92" s="12">
        <f>IF($B92="","",MAX($B$4:$B92))</f>
        <v/>
      </c>
      <c r="G92" s="14">
        <f>IF($B92="","",IFERROR($B92/MAX($B$4:$B92)-1,0))</f>
        <v/>
      </c>
      <c r="H92" s="26" t="n"/>
    </row>
    <row r="93">
      <c r="A93" s="23" t="n">
        <v>46349</v>
      </c>
      <c r="B93" s="24" t="n"/>
      <c r="C93" s="24" t="n"/>
      <c r="D93" s="12">
        <f>IF($B93="","",SUM($C$4:$C93))</f>
        <v/>
      </c>
      <c r="E93" s="12">
        <f>IF($B93="","",$B93-$D93)</f>
        <v/>
      </c>
      <c r="F93" s="12">
        <f>IF($B93="","",MAX($B$4:$B93))</f>
        <v/>
      </c>
      <c r="G93" s="14">
        <f>IF($B93="","",IFERROR($B93/MAX($B$4:$B93)-1,0))</f>
        <v/>
      </c>
      <c r="H93" s="26" t="n"/>
    </row>
    <row r="94">
      <c r="A94" s="23" t="n">
        <v>46350</v>
      </c>
      <c r="B94" s="24" t="n"/>
      <c r="C94" s="24" t="n"/>
      <c r="D94" s="12">
        <f>IF($B94="","",SUM($C$4:$C94))</f>
        <v/>
      </c>
      <c r="E94" s="12">
        <f>IF($B94="","",$B94-$D94)</f>
        <v/>
      </c>
      <c r="F94" s="12">
        <f>IF($B94="","",MAX($B$4:$B94))</f>
        <v/>
      </c>
      <c r="G94" s="14">
        <f>IF($B94="","",IFERROR($B94/MAX($B$4:$B94)-1,0))</f>
        <v/>
      </c>
      <c r="H94" s="26" t="n"/>
    </row>
    <row r="95">
      <c r="A95" s="23" t="n">
        <v>46351</v>
      </c>
      <c r="B95" s="24" t="n"/>
      <c r="C95" s="24" t="n"/>
      <c r="D95" s="12">
        <f>IF($B95="","",SUM($C$4:$C95))</f>
        <v/>
      </c>
      <c r="E95" s="12">
        <f>IF($B95="","",$B95-$D95)</f>
        <v/>
      </c>
      <c r="F95" s="12">
        <f>IF($B95="","",MAX($B$4:$B95))</f>
        <v/>
      </c>
      <c r="G95" s="14">
        <f>IF($B95="","",IFERROR($B95/MAX($B$4:$B95)-1,0))</f>
        <v/>
      </c>
      <c r="H95" s="26" t="n"/>
    </row>
    <row r="96">
      <c r="A96" s="23" t="n">
        <v>46352</v>
      </c>
      <c r="B96" s="24" t="n"/>
      <c r="C96" s="24" t="n"/>
      <c r="D96" s="12">
        <f>IF($B96="","",SUM($C$4:$C96))</f>
        <v/>
      </c>
      <c r="E96" s="12">
        <f>IF($B96="","",$B96-$D96)</f>
        <v/>
      </c>
      <c r="F96" s="12">
        <f>IF($B96="","",MAX($B$4:$B96))</f>
        <v/>
      </c>
      <c r="G96" s="14">
        <f>IF($B96="","",IFERROR($B96/MAX($B$4:$B96)-1,0))</f>
        <v/>
      </c>
      <c r="H96" s="26" t="n"/>
    </row>
    <row r="97">
      <c r="A97" s="23" t="n">
        <v>46353</v>
      </c>
      <c r="B97" s="24" t="n"/>
      <c r="C97" s="24" t="n"/>
      <c r="D97" s="12">
        <f>IF($B97="","",SUM($C$4:$C97))</f>
        <v/>
      </c>
      <c r="E97" s="12">
        <f>IF($B97="","",$B97-$D97)</f>
        <v/>
      </c>
      <c r="F97" s="12">
        <f>IF($B97="","",MAX($B$4:$B97))</f>
        <v/>
      </c>
      <c r="G97" s="14">
        <f>IF($B97="","",IFERROR($B97/MAX($B$4:$B97)-1,0))</f>
        <v/>
      </c>
      <c r="H97" s="26" t="n"/>
    </row>
    <row r="98">
      <c r="A98" s="23" t="n">
        <v>46354</v>
      </c>
      <c r="B98" s="24" t="n"/>
      <c r="C98" s="24" t="n"/>
      <c r="D98" s="12">
        <f>IF($B98="","",SUM($C$4:$C98))</f>
        <v/>
      </c>
      <c r="E98" s="12">
        <f>IF($B98="","",$B98-$D98)</f>
        <v/>
      </c>
      <c r="F98" s="12">
        <f>IF($B98="","",MAX($B$4:$B98))</f>
        <v/>
      </c>
      <c r="G98" s="14">
        <f>IF($B98="","",IFERROR($B98/MAX($B$4:$B98)-1,0))</f>
        <v/>
      </c>
      <c r="H98" s="26" t="n"/>
    </row>
    <row r="99">
      <c r="A99" s="23" t="n">
        <v>46355</v>
      </c>
      <c r="B99" s="24" t="n"/>
      <c r="C99" s="24" t="n"/>
      <c r="D99" s="12">
        <f>IF($B99="","",SUM($C$4:$C99))</f>
        <v/>
      </c>
      <c r="E99" s="12">
        <f>IF($B99="","",$B99-$D99)</f>
        <v/>
      </c>
      <c r="F99" s="12">
        <f>IF($B99="","",MAX($B$4:$B99))</f>
        <v/>
      </c>
      <c r="G99" s="14">
        <f>IF($B99="","",IFERROR($B99/MAX($B$4:$B99)-1,0))</f>
        <v/>
      </c>
      <c r="H99" s="26" t="n"/>
    </row>
    <row r="100">
      <c r="A100" s="23" t="n">
        <v>46356</v>
      </c>
      <c r="B100" s="24" t="n"/>
      <c r="C100" s="24" t="n"/>
      <c r="D100" s="12">
        <f>IF($B100="","",SUM($C$4:$C100))</f>
        <v/>
      </c>
      <c r="E100" s="12">
        <f>IF($B100="","",$B100-$D100)</f>
        <v/>
      </c>
      <c r="F100" s="12">
        <f>IF($B100="","",MAX($B$4:$B100))</f>
        <v/>
      </c>
      <c r="G100" s="14">
        <f>IF($B100="","",IFERROR($B100/MAX($B$4:$B100)-1,0))</f>
        <v/>
      </c>
      <c r="H100" s="26" t="n"/>
    </row>
    <row r="101">
      <c r="A101" s="31" t="n">
        <v>46357</v>
      </c>
      <c r="B101" s="24" t="n"/>
      <c r="C101" s="24" t="n"/>
      <c r="D101" s="12">
        <f>IF($B101="","",SUM($C$4:$C101))</f>
        <v/>
      </c>
      <c r="E101" s="12">
        <f>IF($B101="","",$B101-$D101)</f>
        <v/>
      </c>
      <c r="F101" s="12">
        <f>IF($B101="","",MAX($B$4:$B101))</f>
        <v/>
      </c>
      <c r="G101" s="14">
        <f>IF($B101="","",IFERROR($B101/MAX($B$4:$B101)-1,0))</f>
        <v/>
      </c>
      <c r="H101" s="26" t="n"/>
    </row>
    <row r="102">
      <c r="A102" s="23" t="n">
        <v>46358</v>
      </c>
      <c r="B102" s="24" t="n"/>
      <c r="C102" s="24" t="n"/>
      <c r="D102" s="12">
        <f>IF($B102="","",SUM($C$4:$C102))</f>
        <v/>
      </c>
      <c r="E102" s="12">
        <f>IF($B102="","",$B102-$D102)</f>
        <v/>
      </c>
      <c r="F102" s="12">
        <f>IF($B102="","",MAX($B$4:$B102))</f>
        <v/>
      </c>
      <c r="G102" s="14">
        <f>IF($B102="","",IFERROR($B102/MAX($B$4:$B102)-1,0))</f>
        <v/>
      </c>
      <c r="H102" s="26" t="n"/>
    </row>
    <row r="103">
      <c r="A103" s="23" t="n">
        <v>46359</v>
      </c>
      <c r="B103" s="24" t="n"/>
      <c r="C103" s="24" t="n"/>
      <c r="D103" s="12">
        <f>IF($B103="","",SUM($C$4:$C103))</f>
        <v/>
      </c>
      <c r="E103" s="12">
        <f>IF($B103="","",$B103-$D103)</f>
        <v/>
      </c>
      <c r="F103" s="12">
        <f>IF($B103="","",MAX($B$4:$B103))</f>
        <v/>
      </c>
      <c r="G103" s="14">
        <f>IF($B103="","",IFERROR($B103/MAX($B$4:$B103)-1,0))</f>
        <v/>
      </c>
      <c r="H103" s="26" t="n"/>
    </row>
    <row r="104">
      <c r="A104" s="23" t="n">
        <v>46360</v>
      </c>
      <c r="B104" s="24" t="n"/>
      <c r="C104" s="24" t="n"/>
      <c r="D104" s="12">
        <f>IF($B104="","",SUM($C$4:$C104))</f>
        <v/>
      </c>
      <c r="E104" s="12">
        <f>IF($B104="","",$B104-$D104)</f>
        <v/>
      </c>
      <c r="F104" s="12">
        <f>IF($B104="","",MAX($B$4:$B104))</f>
        <v/>
      </c>
      <c r="G104" s="14">
        <f>IF($B104="","",IFERROR($B104/MAX($B$4:$B104)-1,0))</f>
        <v/>
      </c>
      <c r="H104" s="26" t="n"/>
    </row>
    <row r="105">
      <c r="A105" s="23" t="n">
        <v>46361</v>
      </c>
      <c r="B105" s="24" t="n"/>
      <c r="C105" s="24" t="n"/>
      <c r="D105" s="12">
        <f>IF($B105="","",SUM($C$4:$C105))</f>
        <v/>
      </c>
      <c r="E105" s="12">
        <f>IF($B105="","",$B105-$D105)</f>
        <v/>
      </c>
      <c r="F105" s="12">
        <f>IF($B105="","",MAX($B$4:$B105))</f>
        <v/>
      </c>
      <c r="G105" s="14">
        <f>IF($B105="","",IFERROR($B105/MAX($B$4:$B105)-1,0))</f>
        <v/>
      </c>
      <c r="H105" s="26" t="n"/>
    </row>
    <row r="106">
      <c r="A106" s="23" t="n">
        <v>46362</v>
      </c>
      <c r="B106" s="24" t="n"/>
      <c r="C106" s="24" t="n"/>
      <c r="D106" s="12">
        <f>IF($B106="","",SUM($C$4:$C106))</f>
        <v/>
      </c>
      <c r="E106" s="12">
        <f>IF($B106="","",$B106-$D106)</f>
        <v/>
      </c>
      <c r="F106" s="12">
        <f>IF($B106="","",MAX($B$4:$B106))</f>
        <v/>
      </c>
      <c r="G106" s="14">
        <f>IF($B106="","",IFERROR($B106/MAX($B$4:$B106)-1,0))</f>
        <v/>
      </c>
      <c r="H106" s="26" t="n"/>
    </row>
    <row r="107">
      <c r="A107" s="23" t="n">
        <v>46363</v>
      </c>
      <c r="B107" s="24" t="n"/>
      <c r="C107" s="24" t="n"/>
      <c r="D107" s="12">
        <f>IF($B107="","",SUM($C$4:$C107))</f>
        <v/>
      </c>
      <c r="E107" s="12">
        <f>IF($B107="","",$B107-$D107)</f>
        <v/>
      </c>
      <c r="F107" s="12">
        <f>IF($B107="","",MAX($B$4:$B107))</f>
        <v/>
      </c>
      <c r="G107" s="14">
        <f>IF($B107="","",IFERROR($B107/MAX($B$4:$B107)-1,0))</f>
        <v/>
      </c>
      <c r="H107" s="26" t="n"/>
    </row>
    <row r="108">
      <c r="A108" s="23" t="n">
        <v>46364</v>
      </c>
      <c r="B108" s="24" t="n"/>
      <c r="C108" s="24" t="n"/>
      <c r="D108" s="12">
        <f>IF($B108="","",SUM($C$4:$C108))</f>
        <v/>
      </c>
      <c r="E108" s="12">
        <f>IF($B108="","",$B108-$D108)</f>
        <v/>
      </c>
      <c r="F108" s="12">
        <f>IF($B108="","",MAX($B$4:$B108))</f>
        <v/>
      </c>
      <c r="G108" s="14">
        <f>IF($B108="","",IFERROR($B108/MAX($B$4:$B108)-1,0))</f>
        <v/>
      </c>
      <c r="H108" s="26" t="n"/>
    </row>
    <row r="109">
      <c r="A109" s="23" t="n">
        <v>46365</v>
      </c>
      <c r="B109" s="24" t="n"/>
      <c r="C109" s="24" t="n"/>
      <c r="D109" s="12">
        <f>IF($B109="","",SUM($C$4:$C109))</f>
        <v/>
      </c>
      <c r="E109" s="12">
        <f>IF($B109="","",$B109-$D109)</f>
        <v/>
      </c>
      <c r="F109" s="12">
        <f>IF($B109="","",MAX($B$4:$B109))</f>
        <v/>
      </c>
      <c r="G109" s="14">
        <f>IF($B109="","",IFERROR($B109/MAX($B$4:$B109)-1,0))</f>
        <v/>
      </c>
      <c r="H109" s="26" t="n"/>
    </row>
    <row r="110">
      <c r="A110" s="23" t="n">
        <v>46366</v>
      </c>
      <c r="B110" s="24" t="n"/>
      <c r="C110" s="24" t="n"/>
      <c r="D110" s="12">
        <f>IF($B110="","",SUM($C$4:$C110))</f>
        <v/>
      </c>
      <c r="E110" s="12">
        <f>IF($B110="","",$B110-$D110)</f>
        <v/>
      </c>
      <c r="F110" s="12">
        <f>IF($B110="","",MAX($B$4:$B110))</f>
        <v/>
      </c>
      <c r="G110" s="14">
        <f>IF($B110="","",IFERROR($B110/MAX($B$4:$B110)-1,0))</f>
        <v/>
      </c>
      <c r="H110" s="26" t="n"/>
    </row>
    <row r="111">
      <c r="A111" s="23" t="n">
        <v>46367</v>
      </c>
      <c r="B111" s="24" t="n"/>
      <c r="C111" s="24" t="n"/>
      <c r="D111" s="12">
        <f>IF($B111="","",SUM($C$4:$C111))</f>
        <v/>
      </c>
      <c r="E111" s="12">
        <f>IF($B111="","",$B111-$D111)</f>
        <v/>
      </c>
      <c r="F111" s="12">
        <f>IF($B111="","",MAX($B$4:$B111))</f>
        <v/>
      </c>
      <c r="G111" s="14">
        <f>IF($B111="","",IFERROR($B111/MAX($B$4:$B111)-1,0))</f>
        <v/>
      </c>
      <c r="H111" s="26" t="n"/>
    </row>
    <row r="112">
      <c r="A112" s="23" t="n">
        <v>46368</v>
      </c>
      <c r="B112" s="24" t="n"/>
      <c r="C112" s="24" t="n"/>
      <c r="D112" s="12">
        <f>IF($B112="","",SUM($C$4:$C112))</f>
        <v/>
      </c>
      <c r="E112" s="12">
        <f>IF($B112="","",$B112-$D112)</f>
        <v/>
      </c>
      <c r="F112" s="12">
        <f>IF($B112="","",MAX($B$4:$B112))</f>
        <v/>
      </c>
      <c r="G112" s="14">
        <f>IF($B112="","",IFERROR($B112/MAX($B$4:$B112)-1,0))</f>
        <v/>
      </c>
      <c r="H112" s="26" t="n"/>
    </row>
    <row r="113">
      <c r="A113" s="23" t="n">
        <v>46369</v>
      </c>
      <c r="B113" s="24" t="n"/>
      <c r="C113" s="24" t="n"/>
      <c r="D113" s="12">
        <f>IF($B113="","",SUM($C$4:$C113))</f>
        <v/>
      </c>
      <c r="E113" s="12">
        <f>IF($B113="","",$B113-$D113)</f>
        <v/>
      </c>
      <c r="F113" s="12">
        <f>IF($B113="","",MAX($B$4:$B113))</f>
        <v/>
      </c>
      <c r="G113" s="14">
        <f>IF($B113="","",IFERROR($B113/MAX($B$4:$B113)-1,0))</f>
        <v/>
      </c>
      <c r="H113" s="26" t="n"/>
    </row>
    <row r="114">
      <c r="A114" s="23" t="n">
        <v>46370</v>
      </c>
      <c r="B114" s="24" t="n"/>
      <c r="C114" s="24" t="n"/>
      <c r="D114" s="12">
        <f>IF($B114="","",SUM($C$4:$C114))</f>
        <v/>
      </c>
      <c r="E114" s="12">
        <f>IF($B114="","",$B114-$D114)</f>
        <v/>
      </c>
      <c r="F114" s="12">
        <f>IF($B114="","",MAX($B$4:$B114))</f>
        <v/>
      </c>
      <c r="G114" s="14">
        <f>IF($B114="","",IFERROR($B114/MAX($B$4:$B114)-1,0))</f>
        <v/>
      </c>
      <c r="H114" s="26" t="n"/>
    </row>
    <row r="115">
      <c r="A115" s="23" t="n">
        <v>46371</v>
      </c>
      <c r="B115" s="24" t="n"/>
      <c r="C115" s="24" t="n"/>
      <c r="D115" s="12">
        <f>IF($B115="","",SUM($C$4:$C115))</f>
        <v/>
      </c>
      <c r="E115" s="12">
        <f>IF($B115="","",$B115-$D115)</f>
        <v/>
      </c>
      <c r="F115" s="12">
        <f>IF($B115="","",MAX($B$4:$B115))</f>
        <v/>
      </c>
      <c r="G115" s="14">
        <f>IF($B115="","",IFERROR($B115/MAX($B$4:$B115)-1,0))</f>
        <v/>
      </c>
      <c r="H115" s="26" t="n"/>
    </row>
    <row r="116">
      <c r="A116" s="31" t="n">
        <v>46372</v>
      </c>
      <c r="B116" s="24" t="n"/>
      <c r="C116" s="24" t="n"/>
      <c r="D116" s="12">
        <f>IF($B116="","",SUM($C$4:$C116))</f>
        <v/>
      </c>
      <c r="E116" s="12">
        <f>IF($B116="","",$B116-$D116)</f>
        <v/>
      </c>
      <c r="F116" s="12">
        <f>IF($B116="","",MAX($B$4:$B116))</f>
        <v/>
      </c>
      <c r="G116" s="14">
        <f>IF($B116="","",IFERROR($B116/MAX($B$4:$B116)-1,0))</f>
        <v/>
      </c>
      <c r="H116" s="26" t="n"/>
    </row>
    <row r="117">
      <c r="A117" s="23" t="n">
        <v>46373</v>
      </c>
      <c r="B117" s="24" t="n"/>
      <c r="C117" s="24" t="n"/>
      <c r="D117" s="12">
        <f>IF($B117="","",SUM($C$4:$C117))</f>
        <v/>
      </c>
      <c r="E117" s="12">
        <f>IF($B117="","",$B117-$D117)</f>
        <v/>
      </c>
      <c r="F117" s="12">
        <f>IF($B117="","",MAX($B$4:$B117))</f>
        <v/>
      </c>
      <c r="G117" s="14">
        <f>IF($B117="","",IFERROR($B117/MAX($B$4:$B117)-1,0))</f>
        <v/>
      </c>
      <c r="H117" s="26" t="n"/>
    </row>
    <row r="118">
      <c r="A118" s="23" t="n">
        <v>46374</v>
      </c>
      <c r="B118" s="24" t="n"/>
      <c r="C118" s="24" t="n"/>
      <c r="D118" s="12">
        <f>IF($B118="","",SUM($C$4:$C118))</f>
        <v/>
      </c>
      <c r="E118" s="12">
        <f>IF($B118="","",$B118-$D118)</f>
        <v/>
      </c>
      <c r="F118" s="12">
        <f>IF($B118="","",MAX($B$4:$B118))</f>
        <v/>
      </c>
      <c r="G118" s="14">
        <f>IF($B118="","",IFERROR($B118/MAX($B$4:$B118)-1,0))</f>
        <v/>
      </c>
      <c r="H118" s="26" t="n"/>
    </row>
    <row r="119">
      <c r="A119" s="23" t="n">
        <v>46375</v>
      </c>
      <c r="B119" s="24" t="n"/>
      <c r="C119" s="24" t="n"/>
      <c r="D119" s="12">
        <f>IF($B119="","",SUM($C$4:$C119))</f>
        <v/>
      </c>
      <c r="E119" s="12">
        <f>IF($B119="","",$B119-$D119)</f>
        <v/>
      </c>
      <c r="F119" s="12">
        <f>IF($B119="","",MAX($B$4:$B119))</f>
        <v/>
      </c>
      <c r="G119" s="14">
        <f>IF($B119="","",IFERROR($B119/MAX($B$4:$B119)-1,0))</f>
        <v/>
      </c>
      <c r="H119" s="26" t="n"/>
    </row>
    <row r="120">
      <c r="A120" s="23" t="n">
        <v>46376</v>
      </c>
      <c r="B120" s="24" t="n"/>
      <c r="C120" s="24" t="n"/>
      <c r="D120" s="12">
        <f>IF($B120="","",SUM($C$4:$C120))</f>
        <v/>
      </c>
      <c r="E120" s="12">
        <f>IF($B120="","",$B120-$D120)</f>
        <v/>
      </c>
      <c r="F120" s="12">
        <f>IF($B120="","",MAX($B$4:$B120))</f>
        <v/>
      </c>
      <c r="G120" s="14">
        <f>IF($B120="","",IFERROR($B120/MAX($B$4:$B120)-1,0))</f>
        <v/>
      </c>
      <c r="H120" s="26" t="n"/>
    </row>
    <row r="121">
      <c r="A121" s="23" t="n">
        <v>46377</v>
      </c>
      <c r="B121" s="24" t="n"/>
      <c r="C121" s="24" t="n"/>
      <c r="D121" s="12">
        <f>IF($B121="","",SUM($C$4:$C121))</f>
        <v/>
      </c>
      <c r="E121" s="12">
        <f>IF($B121="","",$B121-$D121)</f>
        <v/>
      </c>
      <c r="F121" s="12">
        <f>IF($B121="","",MAX($B$4:$B121))</f>
        <v/>
      </c>
      <c r="G121" s="14">
        <f>IF($B121="","",IFERROR($B121/MAX($B$4:$B121)-1,0))</f>
        <v/>
      </c>
      <c r="H121" s="26" t="n"/>
    </row>
    <row r="122">
      <c r="A122" s="23" t="n">
        <v>46378</v>
      </c>
      <c r="B122" s="24" t="n"/>
      <c r="C122" s="24" t="n"/>
      <c r="D122" s="12">
        <f>IF($B122="","",SUM($C$4:$C122))</f>
        <v/>
      </c>
      <c r="E122" s="12">
        <f>IF($B122="","",$B122-$D122)</f>
        <v/>
      </c>
      <c r="F122" s="12">
        <f>IF($B122="","",MAX($B$4:$B122))</f>
        <v/>
      </c>
      <c r="G122" s="14">
        <f>IF($B122="","",IFERROR($B122/MAX($B$4:$B122)-1,0))</f>
        <v/>
      </c>
      <c r="H122" s="26" t="n"/>
    </row>
    <row r="123">
      <c r="A123" s="23" t="n">
        <v>46379</v>
      </c>
      <c r="B123" s="24" t="n"/>
      <c r="C123" s="24" t="n"/>
      <c r="D123" s="12">
        <f>IF($B123="","",SUM($C$4:$C123))</f>
        <v/>
      </c>
      <c r="E123" s="12">
        <f>IF($B123="","",$B123-$D123)</f>
        <v/>
      </c>
      <c r="F123" s="12">
        <f>IF($B123="","",MAX($B$4:$B123))</f>
        <v/>
      </c>
      <c r="G123" s="14">
        <f>IF($B123="","",IFERROR($B123/MAX($B$4:$B123)-1,0))</f>
        <v/>
      </c>
      <c r="H123" s="26" t="n"/>
    </row>
    <row r="124">
      <c r="A124" s="23" t="n">
        <v>46380</v>
      </c>
      <c r="B124" s="24" t="n"/>
      <c r="C124" s="24" t="n"/>
      <c r="D124" s="12">
        <f>IF($B124="","",SUM($C$4:$C124))</f>
        <v/>
      </c>
      <c r="E124" s="12">
        <f>IF($B124="","",$B124-$D124)</f>
        <v/>
      </c>
      <c r="F124" s="12">
        <f>IF($B124="","",MAX($B$4:$B124))</f>
        <v/>
      </c>
      <c r="G124" s="14">
        <f>IF($B124="","",IFERROR($B124/MAX($B$4:$B124)-1,0))</f>
        <v/>
      </c>
      <c r="H124" s="26" t="n"/>
    </row>
    <row r="125">
      <c r="A125" s="23" t="n">
        <v>46381</v>
      </c>
      <c r="B125" s="24" t="n"/>
      <c r="C125" s="24" t="n"/>
      <c r="D125" s="12">
        <f>IF($B125="","",SUM($C$4:$C125))</f>
        <v/>
      </c>
      <c r="E125" s="12">
        <f>IF($B125="","",$B125-$D125)</f>
        <v/>
      </c>
      <c r="F125" s="12">
        <f>IF($B125="","",MAX($B$4:$B125))</f>
        <v/>
      </c>
      <c r="G125" s="14">
        <f>IF($B125="","",IFERROR($B125/MAX($B$4:$B125)-1,0))</f>
        <v/>
      </c>
      <c r="H125" s="26" t="n"/>
    </row>
    <row r="126">
      <c r="A126" s="23" t="n">
        <v>46382</v>
      </c>
      <c r="B126" s="24" t="n"/>
      <c r="C126" s="24" t="n"/>
      <c r="D126" s="12">
        <f>IF($B126="","",SUM($C$4:$C126))</f>
        <v/>
      </c>
      <c r="E126" s="12">
        <f>IF($B126="","",$B126-$D126)</f>
        <v/>
      </c>
      <c r="F126" s="12">
        <f>IF($B126="","",MAX($B$4:$B126))</f>
        <v/>
      </c>
      <c r="G126" s="14">
        <f>IF($B126="","",IFERROR($B126/MAX($B$4:$B126)-1,0))</f>
        <v/>
      </c>
      <c r="H126" s="26" t="n"/>
    </row>
    <row r="127">
      <c r="A127" s="23" t="n">
        <v>46383</v>
      </c>
      <c r="B127" s="24" t="n"/>
      <c r="C127" s="24" t="n"/>
      <c r="D127" s="12">
        <f>IF($B127="","",SUM($C$4:$C127))</f>
        <v/>
      </c>
      <c r="E127" s="12">
        <f>IF($B127="","",$B127-$D127)</f>
        <v/>
      </c>
      <c r="F127" s="12">
        <f>IF($B127="","",MAX($B$4:$B127))</f>
        <v/>
      </c>
      <c r="G127" s="14">
        <f>IF($B127="","",IFERROR($B127/MAX($B$4:$B127)-1,0))</f>
        <v/>
      </c>
      <c r="H127" s="26" t="n"/>
    </row>
    <row r="128">
      <c r="A128" s="23" t="n">
        <v>46384</v>
      </c>
      <c r="B128" s="24" t="n"/>
      <c r="C128" s="24" t="n"/>
      <c r="D128" s="12">
        <f>IF($B128="","",SUM($C$4:$C128))</f>
        <v/>
      </c>
      <c r="E128" s="12">
        <f>IF($B128="","",$B128-$D128)</f>
        <v/>
      </c>
      <c r="F128" s="12">
        <f>IF($B128="","",MAX($B$4:$B128))</f>
        <v/>
      </c>
      <c r="G128" s="14">
        <f>IF($B128="","",IFERROR($B128/MAX($B$4:$B128)-1,0))</f>
        <v/>
      </c>
      <c r="H128" s="26" t="n"/>
    </row>
    <row r="129">
      <c r="A129" s="23" t="n">
        <v>46385</v>
      </c>
      <c r="B129" s="24" t="n"/>
      <c r="C129" s="24" t="n"/>
      <c r="D129" s="12">
        <f>IF($B129="","",SUM($C$4:$C129))</f>
        <v/>
      </c>
      <c r="E129" s="12">
        <f>IF($B129="","",$B129-$D129)</f>
        <v/>
      </c>
      <c r="F129" s="12">
        <f>IF($B129="","",MAX($B$4:$B129))</f>
        <v/>
      </c>
      <c r="G129" s="14">
        <f>IF($B129="","",IFERROR($B129/MAX($B$4:$B129)-1,0))</f>
        <v/>
      </c>
      <c r="H129" s="26" t="n"/>
    </row>
    <row r="130">
      <c r="A130" s="23" t="n">
        <v>46386</v>
      </c>
      <c r="B130" s="24" t="n"/>
      <c r="C130" s="24" t="n"/>
      <c r="D130" s="12">
        <f>IF($B130="","",SUM($C$4:$C130))</f>
        <v/>
      </c>
      <c r="E130" s="12">
        <f>IF($B130="","",$B130-$D130)</f>
        <v/>
      </c>
      <c r="F130" s="12">
        <f>IF($B130="","",MAX($B$4:$B130))</f>
        <v/>
      </c>
      <c r="G130" s="14">
        <f>IF($B130="","",IFERROR($B130/MAX($B$4:$B130)-1,0))</f>
        <v/>
      </c>
      <c r="H130" s="26" t="n"/>
    </row>
    <row r="131">
      <c r="A131" s="23" t="n">
        <v>46387</v>
      </c>
      <c r="B131" s="24" t="n"/>
      <c r="C131" s="24" t="n"/>
      <c r="D131" s="12">
        <f>IF($B131="","",SUM($C$4:$C131))</f>
        <v/>
      </c>
      <c r="E131" s="12">
        <f>IF($B131="","",$B131-$D131)</f>
        <v/>
      </c>
      <c r="F131" s="12">
        <f>IF($B131="","",MAX($B$4:$B131))</f>
        <v/>
      </c>
      <c r="G131" s="14">
        <f>IF($B131="","",IFERROR($B131/MAX($B$4:$B131)-1,0))</f>
        <v/>
      </c>
      <c r="H131" s="26" t="n"/>
    </row>
    <row r="132">
      <c r="A132" s="31" t="n">
        <v>46388</v>
      </c>
      <c r="B132" s="24" t="n"/>
      <c r="C132" s="24" t="n"/>
      <c r="D132" s="12">
        <f>IF($B132="","",SUM($C$4:$C132))</f>
        <v/>
      </c>
      <c r="E132" s="12">
        <f>IF($B132="","",$B132-$D132)</f>
        <v/>
      </c>
      <c r="F132" s="12">
        <f>IF($B132="","",MAX($B$4:$B132))</f>
        <v/>
      </c>
      <c r="G132" s="14">
        <f>IF($B132="","",IFERROR($B132/MAX($B$4:$B132)-1,0))</f>
        <v/>
      </c>
      <c r="H132" s="26" t="n"/>
    </row>
    <row r="133">
      <c r="A133" s="23" t="n">
        <v>46389</v>
      </c>
      <c r="B133" s="24" t="n"/>
      <c r="C133" s="24" t="n"/>
      <c r="D133" s="12">
        <f>IF($B133="","",SUM($C$4:$C133))</f>
        <v/>
      </c>
      <c r="E133" s="12">
        <f>IF($B133="","",$B133-$D133)</f>
        <v/>
      </c>
      <c r="F133" s="12">
        <f>IF($B133="","",MAX($B$4:$B133))</f>
        <v/>
      </c>
      <c r="G133" s="14">
        <f>IF($B133="","",IFERROR($B133/MAX($B$4:$B133)-1,0))</f>
        <v/>
      </c>
      <c r="H133" s="26" t="n"/>
    </row>
    <row r="134">
      <c r="A134" s="23" t="n">
        <v>46390</v>
      </c>
      <c r="B134" s="24" t="n"/>
      <c r="C134" s="24" t="n"/>
      <c r="D134" s="12">
        <f>IF($B134="","",SUM($C$4:$C134))</f>
        <v/>
      </c>
      <c r="E134" s="12">
        <f>IF($B134="","",$B134-$D134)</f>
        <v/>
      </c>
      <c r="F134" s="12">
        <f>IF($B134="","",MAX($B$4:$B134))</f>
        <v/>
      </c>
      <c r="G134" s="14">
        <f>IF($B134="","",IFERROR($B134/MAX($B$4:$B134)-1,0))</f>
        <v/>
      </c>
      <c r="H134" s="26" t="n"/>
    </row>
    <row r="135">
      <c r="A135" s="23" t="n">
        <v>46391</v>
      </c>
      <c r="B135" s="24" t="n"/>
      <c r="C135" s="24" t="n"/>
      <c r="D135" s="12">
        <f>IF($B135="","",SUM($C$4:$C135))</f>
        <v/>
      </c>
      <c r="E135" s="12">
        <f>IF($B135="","",$B135-$D135)</f>
        <v/>
      </c>
      <c r="F135" s="12">
        <f>IF($B135="","",MAX($B$4:$B135))</f>
        <v/>
      </c>
      <c r="G135" s="14">
        <f>IF($B135="","",IFERROR($B135/MAX($B$4:$B135)-1,0))</f>
        <v/>
      </c>
      <c r="H135" s="26" t="n"/>
    </row>
    <row r="136">
      <c r="A136" s="23" t="n">
        <v>46392</v>
      </c>
      <c r="B136" s="24" t="n"/>
      <c r="C136" s="24" t="n"/>
      <c r="D136" s="12">
        <f>IF($B136="","",SUM($C$4:$C136))</f>
        <v/>
      </c>
      <c r="E136" s="12">
        <f>IF($B136="","",$B136-$D136)</f>
        <v/>
      </c>
      <c r="F136" s="12">
        <f>IF($B136="","",MAX($B$4:$B136))</f>
        <v/>
      </c>
      <c r="G136" s="14">
        <f>IF($B136="","",IFERROR($B136/MAX($B$4:$B136)-1,0))</f>
        <v/>
      </c>
      <c r="H136" s="26" t="n"/>
    </row>
    <row r="137">
      <c r="A137" s="23" t="n">
        <v>46393</v>
      </c>
      <c r="B137" s="24" t="n"/>
      <c r="C137" s="24" t="n"/>
      <c r="D137" s="12">
        <f>IF($B137="","",SUM($C$4:$C137))</f>
        <v/>
      </c>
      <c r="E137" s="12">
        <f>IF($B137="","",$B137-$D137)</f>
        <v/>
      </c>
      <c r="F137" s="12">
        <f>IF($B137="","",MAX($B$4:$B137))</f>
        <v/>
      </c>
      <c r="G137" s="14">
        <f>IF($B137="","",IFERROR($B137/MAX($B$4:$B137)-1,0))</f>
        <v/>
      </c>
      <c r="H137" s="26" t="n"/>
    </row>
    <row r="138">
      <c r="A138" s="23" t="n">
        <v>46394</v>
      </c>
      <c r="B138" s="24" t="n"/>
      <c r="C138" s="24" t="n"/>
      <c r="D138" s="12">
        <f>IF($B138="","",SUM($C$4:$C138))</f>
        <v/>
      </c>
      <c r="E138" s="12">
        <f>IF($B138="","",$B138-$D138)</f>
        <v/>
      </c>
      <c r="F138" s="12">
        <f>IF($B138="","",MAX($B$4:$B138))</f>
        <v/>
      </c>
      <c r="G138" s="14">
        <f>IF($B138="","",IFERROR($B138/MAX($B$4:$B138)-1,0))</f>
        <v/>
      </c>
      <c r="H138" s="26" t="n"/>
    </row>
    <row r="139">
      <c r="A139" s="23" t="n">
        <v>46395</v>
      </c>
      <c r="B139" s="24" t="n"/>
      <c r="C139" s="24" t="n"/>
      <c r="D139" s="12">
        <f>IF($B139="","",SUM($C$4:$C139))</f>
        <v/>
      </c>
      <c r="E139" s="12">
        <f>IF($B139="","",$B139-$D139)</f>
        <v/>
      </c>
      <c r="F139" s="12">
        <f>IF($B139="","",MAX($B$4:$B139))</f>
        <v/>
      </c>
      <c r="G139" s="14">
        <f>IF($B139="","",IFERROR($B139/MAX($B$4:$B139)-1,0))</f>
        <v/>
      </c>
      <c r="H139" s="26" t="n"/>
    </row>
    <row r="140">
      <c r="A140" s="23" t="n">
        <v>46396</v>
      </c>
      <c r="B140" s="24" t="n"/>
      <c r="C140" s="24" t="n"/>
      <c r="D140" s="12">
        <f>IF($B140="","",SUM($C$4:$C140))</f>
        <v/>
      </c>
      <c r="E140" s="12">
        <f>IF($B140="","",$B140-$D140)</f>
        <v/>
      </c>
      <c r="F140" s="12">
        <f>IF($B140="","",MAX($B$4:$B140))</f>
        <v/>
      </c>
      <c r="G140" s="14">
        <f>IF($B140="","",IFERROR($B140/MAX($B$4:$B140)-1,0))</f>
        <v/>
      </c>
      <c r="H140" s="26" t="n"/>
    </row>
    <row r="141">
      <c r="A141" s="23" t="n">
        <v>46397</v>
      </c>
      <c r="B141" s="24" t="n"/>
      <c r="C141" s="24" t="n"/>
      <c r="D141" s="12">
        <f>IF($B141="","",SUM($C$4:$C141))</f>
        <v/>
      </c>
      <c r="E141" s="12">
        <f>IF($B141="","",$B141-$D141)</f>
        <v/>
      </c>
      <c r="F141" s="12">
        <f>IF($B141="","",MAX($B$4:$B141))</f>
        <v/>
      </c>
      <c r="G141" s="14">
        <f>IF($B141="","",IFERROR($B141/MAX($B$4:$B141)-1,0))</f>
        <v/>
      </c>
      <c r="H141" s="26" t="n"/>
    </row>
    <row r="142">
      <c r="A142" s="23" t="n">
        <v>46398</v>
      </c>
      <c r="B142" s="24" t="n"/>
      <c r="C142" s="24" t="n"/>
      <c r="D142" s="12">
        <f>IF($B142="","",SUM($C$4:$C142))</f>
        <v/>
      </c>
      <c r="E142" s="12">
        <f>IF($B142="","",$B142-$D142)</f>
        <v/>
      </c>
      <c r="F142" s="12">
        <f>IF($B142="","",MAX($B$4:$B142))</f>
        <v/>
      </c>
      <c r="G142" s="14">
        <f>IF($B142="","",IFERROR($B142/MAX($B$4:$B142)-1,0))</f>
        <v/>
      </c>
      <c r="H142" s="26" t="n"/>
    </row>
    <row r="143">
      <c r="A143" s="23" t="n">
        <v>46399</v>
      </c>
      <c r="B143" s="24" t="n"/>
      <c r="C143" s="24" t="n"/>
      <c r="D143" s="12">
        <f>IF($B143="","",SUM($C$4:$C143))</f>
        <v/>
      </c>
      <c r="E143" s="12">
        <f>IF($B143="","",$B143-$D143)</f>
        <v/>
      </c>
      <c r="F143" s="12">
        <f>IF($B143="","",MAX($B$4:$B143))</f>
        <v/>
      </c>
      <c r="G143" s="14">
        <f>IF($B143="","",IFERROR($B143/MAX($B$4:$B143)-1,0))</f>
        <v/>
      </c>
      <c r="H143" s="26" t="n"/>
    </row>
    <row r="144">
      <c r="A144" s="23" t="n">
        <v>46400</v>
      </c>
      <c r="B144" s="24" t="n"/>
      <c r="C144" s="24" t="n"/>
      <c r="D144" s="12">
        <f>IF($B144="","",SUM($C$4:$C144))</f>
        <v/>
      </c>
      <c r="E144" s="12">
        <f>IF($B144="","",$B144-$D144)</f>
        <v/>
      </c>
      <c r="F144" s="12">
        <f>IF($B144="","",MAX($B$4:$B144))</f>
        <v/>
      </c>
      <c r="G144" s="14">
        <f>IF($B144="","",IFERROR($B144/MAX($B$4:$B144)-1,0))</f>
        <v/>
      </c>
      <c r="H144" s="26" t="n"/>
    </row>
    <row r="145">
      <c r="A145" s="23" t="n">
        <v>46401</v>
      </c>
      <c r="B145" s="24" t="n"/>
      <c r="C145" s="24" t="n"/>
      <c r="D145" s="12">
        <f>IF($B145="","",SUM($C$4:$C145))</f>
        <v/>
      </c>
      <c r="E145" s="12">
        <f>IF($B145="","",$B145-$D145)</f>
        <v/>
      </c>
      <c r="F145" s="12">
        <f>IF($B145="","",MAX($B$4:$B145))</f>
        <v/>
      </c>
      <c r="G145" s="14">
        <f>IF($B145="","",IFERROR($B145/MAX($B$4:$B145)-1,0))</f>
        <v/>
      </c>
      <c r="H145" s="26" t="n"/>
    </row>
    <row r="146">
      <c r="A146" s="23" t="n">
        <v>46402</v>
      </c>
      <c r="B146" s="24" t="n"/>
      <c r="C146" s="24" t="n"/>
      <c r="D146" s="12">
        <f>IF($B146="","",SUM($C$4:$C146))</f>
        <v/>
      </c>
      <c r="E146" s="12">
        <f>IF($B146="","",$B146-$D146)</f>
        <v/>
      </c>
      <c r="F146" s="12">
        <f>IF($B146="","",MAX($B$4:$B146))</f>
        <v/>
      </c>
      <c r="G146" s="14">
        <f>IF($B146="","",IFERROR($B146/MAX($B$4:$B146)-1,0))</f>
        <v/>
      </c>
      <c r="H146" s="26" t="n"/>
    </row>
    <row r="147">
      <c r="A147" s="31" t="n">
        <v>46403</v>
      </c>
      <c r="B147" s="24" t="n"/>
      <c r="C147" s="24" t="n"/>
      <c r="D147" s="12">
        <f>IF($B147="","",SUM($C$4:$C147))</f>
        <v/>
      </c>
      <c r="E147" s="12">
        <f>IF($B147="","",$B147-$D147)</f>
        <v/>
      </c>
      <c r="F147" s="12">
        <f>IF($B147="","",MAX($B$4:$B147))</f>
        <v/>
      </c>
      <c r="G147" s="14">
        <f>IF($B147="","",IFERROR($B147/MAX($B$4:$B147)-1,0))</f>
        <v/>
      </c>
      <c r="H147" s="26" t="n"/>
    </row>
    <row r="148">
      <c r="A148" s="23" t="n">
        <v>46404</v>
      </c>
      <c r="B148" s="24" t="n"/>
      <c r="C148" s="24" t="n"/>
      <c r="D148" s="12">
        <f>IF($B148="","",SUM($C$4:$C148))</f>
        <v/>
      </c>
      <c r="E148" s="12">
        <f>IF($B148="","",$B148-$D148)</f>
        <v/>
      </c>
      <c r="F148" s="12">
        <f>IF($B148="","",MAX($B$4:$B148))</f>
        <v/>
      </c>
      <c r="G148" s="14">
        <f>IF($B148="","",IFERROR($B148/MAX($B$4:$B148)-1,0))</f>
        <v/>
      </c>
      <c r="H148" s="26" t="n"/>
    </row>
    <row r="149">
      <c r="A149" s="23" t="n">
        <v>46405</v>
      </c>
      <c r="B149" s="24" t="n"/>
      <c r="C149" s="24" t="n"/>
      <c r="D149" s="12">
        <f>IF($B149="","",SUM($C$4:$C149))</f>
        <v/>
      </c>
      <c r="E149" s="12">
        <f>IF($B149="","",$B149-$D149)</f>
        <v/>
      </c>
      <c r="F149" s="12">
        <f>IF($B149="","",MAX($B$4:$B149))</f>
        <v/>
      </c>
      <c r="G149" s="14">
        <f>IF($B149="","",IFERROR($B149/MAX($B$4:$B149)-1,0))</f>
        <v/>
      </c>
      <c r="H149" s="26" t="n"/>
    </row>
    <row r="150">
      <c r="A150" s="23" t="n">
        <v>46406</v>
      </c>
      <c r="B150" s="24" t="n"/>
      <c r="C150" s="24" t="n"/>
      <c r="D150" s="12">
        <f>IF($B150="","",SUM($C$4:$C150))</f>
        <v/>
      </c>
      <c r="E150" s="12">
        <f>IF($B150="","",$B150-$D150)</f>
        <v/>
      </c>
      <c r="F150" s="12">
        <f>IF($B150="","",MAX($B$4:$B150))</f>
        <v/>
      </c>
      <c r="G150" s="14">
        <f>IF($B150="","",IFERROR($B150/MAX($B$4:$B150)-1,0))</f>
        <v/>
      </c>
      <c r="H150" s="26" t="n"/>
    </row>
    <row r="151">
      <c r="A151" s="23" t="n">
        <v>46407</v>
      </c>
      <c r="B151" s="24" t="n"/>
      <c r="C151" s="24" t="n"/>
      <c r="D151" s="12">
        <f>IF($B151="","",SUM($C$4:$C151))</f>
        <v/>
      </c>
      <c r="E151" s="12">
        <f>IF($B151="","",$B151-$D151)</f>
        <v/>
      </c>
      <c r="F151" s="12">
        <f>IF($B151="","",MAX($B$4:$B151))</f>
        <v/>
      </c>
      <c r="G151" s="14">
        <f>IF($B151="","",IFERROR($B151/MAX($B$4:$B151)-1,0))</f>
        <v/>
      </c>
      <c r="H151" s="26" t="n"/>
    </row>
    <row r="152">
      <c r="A152" s="23" t="n">
        <v>46408</v>
      </c>
      <c r="B152" s="24" t="n"/>
      <c r="C152" s="24" t="n"/>
      <c r="D152" s="12">
        <f>IF($B152="","",SUM($C$4:$C152))</f>
        <v/>
      </c>
      <c r="E152" s="12">
        <f>IF($B152="","",$B152-$D152)</f>
        <v/>
      </c>
      <c r="F152" s="12">
        <f>IF($B152="","",MAX($B$4:$B152))</f>
        <v/>
      </c>
      <c r="G152" s="14">
        <f>IF($B152="","",IFERROR($B152/MAX($B$4:$B152)-1,0))</f>
        <v/>
      </c>
      <c r="H152" s="26" t="n"/>
    </row>
    <row r="153">
      <c r="A153" s="23" t="n">
        <v>46409</v>
      </c>
      <c r="B153" s="24" t="n"/>
      <c r="C153" s="24" t="n"/>
      <c r="D153" s="12">
        <f>IF($B153="","",SUM($C$4:$C153))</f>
        <v/>
      </c>
      <c r="E153" s="12">
        <f>IF($B153="","",$B153-$D153)</f>
        <v/>
      </c>
      <c r="F153" s="12">
        <f>IF($B153="","",MAX($B$4:$B153))</f>
        <v/>
      </c>
      <c r="G153" s="14">
        <f>IF($B153="","",IFERROR($B153/MAX($B$4:$B153)-1,0))</f>
        <v/>
      </c>
      <c r="H153" s="26" t="n"/>
    </row>
    <row r="154">
      <c r="A154" s="23" t="n">
        <v>46410</v>
      </c>
      <c r="B154" s="24" t="n"/>
      <c r="C154" s="24" t="n"/>
      <c r="D154" s="12">
        <f>IF($B154="","",SUM($C$4:$C154))</f>
        <v/>
      </c>
      <c r="E154" s="12">
        <f>IF($B154="","",$B154-$D154)</f>
        <v/>
      </c>
      <c r="F154" s="12">
        <f>IF($B154="","",MAX($B$4:$B154))</f>
        <v/>
      </c>
      <c r="G154" s="14">
        <f>IF($B154="","",IFERROR($B154/MAX($B$4:$B154)-1,0))</f>
        <v/>
      </c>
      <c r="H154" s="26" t="n"/>
    </row>
    <row r="155">
      <c r="A155" s="23" t="n">
        <v>46411</v>
      </c>
      <c r="B155" s="24" t="n"/>
      <c r="C155" s="24" t="n"/>
      <c r="D155" s="12">
        <f>IF($B155="","",SUM($C$4:$C155))</f>
        <v/>
      </c>
      <c r="E155" s="12">
        <f>IF($B155="","",$B155-$D155)</f>
        <v/>
      </c>
      <c r="F155" s="12">
        <f>IF($B155="","",MAX($B$4:$B155))</f>
        <v/>
      </c>
      <c r="G155" s="14">
        <f>IF($B155="","",IFERROR($B155/MAX($B$4:$B155)-1,0))</f>
        <v/>
      </c>
      <c r="H155" s="26" t="n"/>
    </row>
    <row r="156">
      <c r="A156" s="23" t="n">
        <v>46412</v>
      </c>
      <c r="B156" s="24" t="n"/>
      <c r="C156" s="24" t="n"/>
      <c r="D156" s="12">
        <f>IF($B156="","",SUM($C$4:$C156))</f>
        <v/>
      </c>
      <c r="E156" s="12">
        <f>IF($B156="","",$B156-$D156)</f>
        <v/>
      </c>
      <c r="F156" s="12">
        <f>IF($B156="","",MAX($B$4:$B156))</f>
        <v/>
      </c>
      <c r="G156" s="14">
        <f>IF($B156="","",IFERROR($B156/MAX($B$4:$B156)-1,0))</f>
        <v/>
      </c>
      <c r="H156" s="26" t="n"/>
    </row>
    <row r="157">
      <c r="A157" s="23" t="n">
        <v>46413</v>
      </c>
      <c r="B157" s="24" t="n"/>
      <c r="C157" s="24" t="n"/>
      <c r="D157" s="12">
        <f>IF($B157="","",SUM($C$4:$C157))</f>
        <v/>
      </c>
      <c r="E157" s="12">
        <f>IF($B157="","",$B157-$D157)</f>
        <v/>
      </c>
      <c r="F157" s="12">
        <f>IF($B157="","",MAX($B$4:$B157))</f>
        <v/>
      </c>
      <c r="G157" s="14">
        <f>IF($B157="","",IFERROR($B157/MAX($B$4:$B157)-1,0))</f>
        <v/>
      </c>
      <c r="H157" s="26" t="n"/>
    </row>
    <row r="158">
      <c r="A158" s="23" t="n">
        <v>46414</v>
      </c>
      <c r="B158" s="24" t="n"/>
      <c r="C158" s="24" t="n"/>
      <c r="D158" s="12">
        <f>IF($B158="","",SUM($C$4:$C158))</f>
        <v/>
      </c>
      <c r="E158" s="12">
        <f>IF($B158="","",$B158-$D158)</f>
        <v/>
      </c>
      <c r="F158" s="12">
        <f>IF($B158="","",MAX($B$4:$B158))</f>
        <v/>
      </c>
      <c r="G158" s="14">
        <f>IF($B158="","",IFERROR($B158/MAX($B$4:$B158)-1,0))</f>
        <v/>
      </c>
      <c r="H158" s="26" t="n"/>
    </row>
    <row r="159">
      <c r="A159" s="23" t="n">
        <v>46415</v>
      </c>
      <c r="B159" s="24" t="n"/>
      <c r="C159" s="24" t="n"/>
      <c r="D159" s="12">
        <f>IF($B159="","",SUM($C$4:$C159))</f>
        <v/>
      </c>
      <c r="E159" s="12">
        <f>IF($B159="","",$B159-$D159)</f>
        <v/>
      </c>
      <c r="F159" s="12">
        <f>IF($B159="","",MAX($B$4:$B159))</f>
        <v/>
      </c>
      <c r="G159" s="14">
        <f>IF($B159="","",IFERROR($B159/MAX($B$4:$B159)-1,0))</f>
        <v/>
      </c>
      <c r="H159" s="26" t="n"/>
    </row>
    <row r="160">
      <c r="A160" s="23" t="n">
        <v>46416</v>
      </c>
      <c r="B160" s="24" t="n"/>
      <c r="C160" s="24" t="n"/>
      <c r="D160" s="12">
        <f>IF($B160="","",SUM($C$4:$C160))</f>
        <v/>
      </c>
      <c r="E160" s="12">
        <f>IF($B160="","",$B160-$D160)</f>
        <v/>
      </c>
      <c r="F160" s="12">
        <f>IF($B160="","",MAX($B$4:$B160))</f>
        <v/>
      </c>
      <c r="G160" s="14">
        <f>IF($B160="","",IFERROR($B160/MAX($B$4:$B160)-1,0))</f>
        <v/>
      </c>
      <c r="H160" s="26" t="n"/>
    </row>
    <row r="161">
      <c r="A161" s="23" t="n">
        <v>46417</v>
      </c>
      <c r="B161" s="24" t="n"/>
      <c r="C161" s="24" t="n"/>
      <c r="D161" s="12">
        <f>IF($B161="","",SUM($C$4:$C161))</f>
        <v/>
      </c>
      <c r="E161" s="12">
        <f>IF($B161="","",$B161-$D161)</f>
        <v/>
      </c>
      <c r="F161" s="12">
        <f>IF($B161="","",MAX($B$4:$B161))</f>
        <v/>
      </c>
      <c r="G161" s="14">
        <f>IF($B161="","",IFERROR($B161/MAX($B$4:$B161)-1,0))</f>
        <v/>
      </c>
      <c r="H161" s="26" t="n"/>
    </row>
    <row r="162">
      <c r="A162" s="23" t="n">
        <v>46418</v>
      </c>
      <c r="B162" s="24" t="n"/>
      <c r="C162" s="24" t="n"/>
      <c r="D162" s="12">
        <f>IF($B162="","",SUM($C$4:$C162))</f>
        <v/>
      </c>
      <c r="E162" s="12">
        <f>IF($B162="","",$B162-$D162)</f>
        <v/>
      </c>
      <c r="F162" s="12">
        <f>IF($B162="","",MAX($B$4:$B162))</f>
        <v/>
      </c>
      <c r="G162" s="14">
        <f>IF($B162="","",IFERROR($B162/MAX($B$4:$B162)-1,0))</f>
        <v/>
      </c>
      <c r="H162" s="26" t="n"/>
    </row>
    <row r="163">
      <c r="A163" s="31" t="n">
        <v>46419</v>
      </c>
      <c r="B163" s="24" t="n"/>
      <c r="C163" s="24" t="n"/>
      <c r="D163" s="12">
        <f>IF($B163="","",SUM($C$4:$C163))</f>
        <v/>
      </c>
      <c r="E163" s="12">
        <f>IF($B163="","",$B163-$D163)</f>
        <v/>
      </c>
      <c r="F163" s="12">
        <f>IF($B163="","",MAX($B$4:$B163))</f>
        <v/>
      </c>
      <c r="G163" s="14">
        <f>IF($B163="","",IFERROR($B163/MAX($B$4:$B163)-1,0))</f>
        <v/>
      </c>
      <c r="H163" s="26" t="n"/>
    </row>
    <row r="164">
      <c r="A164" s="23" t="n">
        <v>46420</v>
      </c>
      <c r="B164" s="24" t="n"/>
      <c r="C164" s="24" t="n"/>
      <c r="D164" s="12">
        <f>IF($B164="","",SUM($C$4:$C164))</f>
        <v/>
      </c>
      <c r="E164" s="12">
        <f>IF($B164="","",$B164-$D164)</f>
        <v/>
      </c>
      <c r="F164" s="12">
        <f>IF($B164="","",MAX($B$4:$B164))</f>
        <v/>
      </c>
      <c r="G164" s="14">
        <f>IF($B164="","",IFERROR($B164/MAX($B$4:$B164)-1,0))</f>
        <v/>
      </c>
      <c r="H164" s="26" t="n"/>
    </row>
    <row r="165">
      <c r="A165" s="23" t="n">
        <v>46421</v>
      </c>
      <c r="B165" s="24" t="n"/>
      <c r="C165" s="24" t="n"/>
      <c r="D165" s="12">
        <f>IF($B165="","",SUM($C$4:$C165))</f>
        <v/>
      </c>
      <c r="E165" s="12">
        <f>IF($B165="","",$B165-$D165)</f>
        <v/>
      </c>
      <c r="F165" s="12">
        <f>IF($B165="","",MAX($B$4:$B165))</f>
        <v/>
      </c>
      <c r="G165" s="14">
        <f>IF($B165="","",IFERROR($B165/MAX($B$4:$B165)-1,0))</f>
        <v/>
      </c>
      <c r="H165" s="26" t="n"/>
    </row>
    <row r="166">
      <c r="A166" s="23" t="n">
        <v>46422</v>
      </c>
      <c r="B166" s="24" t="n"/>
      <c r="C166" s="24" t="n"/>
      <c r="D166" s="12">
        <f>IF($B166="","",SUM($C$4:$C166))</f>
        <v/>
      </c>
      <c r="E166" s="12">
        <f>IF($B166="","",$B166-$D166)</f>
        <v/>
      </c>
      <c r="F166" s="12">
        <f>IF($B166="","",MAX($B$4:$B166))</f>
        <v/>
      </c>
      <c r="G166" s="14">
        <f>IF($B166="","",IFERROR($B166/MAX($B$4:$B166)-1,0))</f>
        <v/>
      </c>
      <c r="H166" s="26" t="n"/>
    </row>
    <row r="167">
      <c r="A167" s="23" t="n">
        <v>46423</v>
      </c>
      <c r="B167" s="24" t="n"/>
      <c r="C167" s="24" t="n"/>
      <c r="D167" s="12">
        <f>IF($B167="","",SUM($C$4:$C167))</f>
        <v/>
      </c>
      <c r="E167" s="12">
        <f>IF($B167="","",$B167-$D167)</f>
        <v/>
      </c>
      <c r="F167" s="12">
        <f>IF($B167="","",MAX($B$4:$B167))</f>
        <v/>
      </c>
      <c r="G167" s="14">
        <f>IF($B167="","",IFERROR($B167/MAX($B$4:$B167)-1,0))</f>
        <v/>
      </c>
      <c r="H167" s="26" t="n"/>
    </row>
    <row r="168">
      <c r="A168" s="23" t="n">
        <v>46424</v>
      </c>
      <c r="B168" s="24" t="n"/>
      <c r="C168" s="24" t="n"/>
      <c r="D168" s="12">
        <f>IF($B168="","",SUM($C$4:$C168))</f>
        <v/>
      </c>
      <c r="E168" s="12">
        <f>IF($B168="","",$B168-$D168)</f>
        <v/>
      </c>
      <c r="F168" s="12">
        <f>IF($B168="","",MAX($B$4:$B168))</f>
        <v/>
      </c>
      <c r="G168" s="14">
        <f>IF($B168="","",IFERROR($B168/MAX($B$4:$B168)-1,0))</f>
        <v/>
      </c>
      <c r="H168" s="26" t="n"/>
    </row>
    <row r="169">
      <c r="A169" s="23" t="n">
        <v>46425</v>
      </c>
      <c r="B169" s="24" t="n"/>
      <c r="C169" s="24" t="n"/>
      <c r="D169" s="12">
        <f>IF($B169="","",SUM($C$4:$C169))</f>
        <v/>
      </c>
      <c r="E169" s="12">
        <f>IF($B169="","",$B169-$D169)</f>
        <v/>
      </c>
      <c r="F169" s="12">
        <f>IF($B169="","",MAX($B$4:$B169))</f>
        <v/>
      </c>
      <c r="G169" s="14">
        <f>IF($B169="","",IFERROR($B169/MAX($B$4:$B169)-1,0))</f>
        <v/>
      </c>
      <c r="H169" s="26" t="n"/>
    </row>
    <row r="170">
      <c r="A170" s="23" t="n">
        <v>46426</v>
      </c>
      <c r="B170" s="24" t="n"/>
      <c r="C170" s="24" t="n"/>
      <c r="D170" s="12">
        <f>IF($B170="","",SUM($C$4:$C170))</f>
        <v/>
      </c>
      <c r="E170" s="12">
        <f>IF($B170="","",$B170-$D170)</f>
        <v/>
      </c>
      <c r="F170" s="12">
        <f>IF($B170="","",MAX($B$4:$B170))</f>
        <v/>
      </c>
      <c r="G170" s="14">
        <f>IF($B170="","",IFERROR($B170/MAX($B$4:$B170)-1,0))</f>
        <v/>
      </c>
      <c r="H170" s="26" t="n"/>
    </row>
    <row r="171">
      <c r="A171" s="23" t="n">
        <v>46427</v>
      </c>
      <c r="B171" s="24" t="n"/>
      <c r="C171" s="24" t="n"/>
      <c r="D171" s="12">
        <f>IF($B171="","",SUM($C$4:$C171))</f>
        <v/>
      </c>
      <c r="E171" s="12">
        <f>IF($B171="","",$B171-$D171)</f>
        <v/>
      </c>
      <c r="F171" s="12">
        <f>IF($B171="","",MAX($B$4:$B171))</f>
        <v/>
      </c>
      <c r="G171" s="14">
        <f>IF($B171="","",IFERROR($B171/MAX($B$4:$B171)-1,0))</f>
        <v/>
      </c>
      <c r="H171" s="26" t="n"/>
    </row>
    <row r="172">
      <c r="A172" s="23" t="n">
        <v>46428</v>
      </c>
      <c r="B172" s="24" t="n"/>
      <c r="C172" s="24" t="n"/>
      <c r="D172" s="12">
        <f>IF($B172="","",SUM($C$4:$C172))</f>
        <v/>
      </c>
      <c r="E172" s="12">
        <f>IF($B172="","",$B172-$D172)</f>
        <v/>
      </c>
      <c r="F172" s="12">
        <f>IF($B172="","",MAX($B$4:$B172))</f>
        <v/>
      </c>
      <c r="G172" s="14">
        <f>IF($B172="","",IFERROR($B172/MAX($B$4:$B172)-1,0))</f>
        <v/>
      </c>
      <c r="H172" s="26" t="n"/>
    </row>
    <row r="173">
      <c r="A173" s="23" t="n">
        <v>46429</v>
      </c>
      <c r="B173" s="24" t="n"/>
      <c r="C173" s="24" t="n"/>
      <c r="D173" s="12">
        <f>IF($B173="","",SUM($C$4:$C173))</f>
        <v/>
      </c>
      <c r="E173" s="12">
        <f>IF($B173="","",$B173-$D173)</f>
        <v/>
      </c>
      <c r="F173" s="12">
        <f>IF($B173="","",MAX($B$4:$B173))</f>
        <v/>
      </c>
      <c r="G173" s="14">
        <f>IF($B173="","",IFERROR($B173/MAX($B$4:$B173)-1,0))</f>
        <v/>
      </c>
      <c r="H173" s="26" t="n"/>
    </row>
    <row r="174">
      <c r="A174" s="23" t="n">
        <v>46430</v>
      </c>
      <c r="B174" s="24" t="n"/>
      <c r="C174" s="24" t="n"/>
      <c r="D174" s="12">
        <f>IF($B174="","",SUM($C$4:$C174))</f>
        <v/>
      </c>
      <c r="E174" s="12">
        <f>IF($B174="","",$B174-$D174)</f>
        <v/>
      </c>
      <c r="F174" s="12">
        <f>IF($B174="","",MAX($B$4:$B174))</f>
        <v/>
      </c>
      <c r="G174" s="14">
        <f>IF($B174="","",IFERROR($B174/MAX($B$4:$B174)-1,0))</f>
        <v/>
      </c>
      <c r="H174" s="26" t="n"/>
    </row>
    <row r="175">
      <c r="A175" s="23" t="n">
        <v>46431</v>
      </c>
      <c r="B175" s="24" t="n"/>
      <c r="C175" s="24" t="n"/>
      <c r="D175" s="12">
        <f>IF($B175="","",SUM($C$4:$C175))</f>
        <v/>
      </c>
      <c r="E175" s="12">
        <f>IF($B175="","",$B175-$D175)</f>
        <v/>
      </c>
      <c r="F175" s="12">
        <f>IF($B175="","",MAX($B$4:$B175))</f>
        <v/>
      </c>
      <c r="G175" s="14">
        <f>IF($B175="","",IFERROR($B175/MAX($B$4:$B175)-1,0))</f>
        <v/>
      </c>
      <c r="H175" s="26" t="n"/>
    </row>
    <row r="176">
      <c r="A176" s="23" t="n">
        <v>46432</v>
      </c>
      <c r="B176" s="24" t="n"/>
      <c r="C176" s="24" t="n"/>
      <c r="D176" s="12">
        <f>IF($B176="","",SUM($C$4:$C176))</f>
        <v/>
      </c>
      <c r="E176" s="12">
        <f>IF($B176="","",$B176-$D176)</f>
        <v/>
      </c>
      <c r="F176" s="12">
        <f>IF($B176="","",MAX($B$4:$B176))</f>
        <v/>
      </c>
      <c r="G176" s="14">
        <f>IF($B176="","",IFERROR($B176/MAX($B$4:$B176)-1,0))</f>
        <v/>
      </c>
      <c r="H176" s="26" t="n"/>
    </row>
    <row r="177">
      <c r="A177" s="23" t="n">
        <v>46433</v>
      </c>
      <c r="B177" s="24" t="n"/>
      <c r="C177" s="24" t="n"/>
      <c r="D177" s="12">
        <f>IF($B177="","",SUM($C$4:$C177))</f>
        <v/>
      </c>
      <c r="E177" s="12">
        <f>IF($B177="","",$B177-$D177)</f>
        <v/>
      </c>
      <c r="F177" s="12">
        <f>IF($B177="","",MAX($B$4:$B177))</f>
        <v/>
      </c>
      <c r="G177" s="14">
        <f>IF($B177="","",IFERROR($B177/MAX($B$4:$B177)-1,0))</f>
        <v/>
      </c>
      <c r="H177" s="26" t="n"/>
    </row>
    <row r="178">
      <c r="A178" s="31" t="n">
        <v>46434</v>
      </c>
      <c r="B178" s="24" t="n"/>
      <c r="C178" s="24" t="n"/>
      <c r="D178" s="12">
        <f>IF($B178="","",SUM($C$4:$C178))</f>
        <v/>
      </c>
      <c r="E178" s="12">
        <f>IF($B178="","",$B178-$D178)</f>
        <v/>
      </c>
      <c r="F178" s="12">
        <f>IF($B178="","",MAX($B$4:$B178))</f>
        <v/>
      </c>
      <c r="G178" s="14">
        <f>IF($B178="","",IFERROR($B178/MAX($B$4:$B178)-1,0))</f>
        <v/>
      </c>
      <c r="H178" s="26" t="n"/>
    </row>
    <row r="179">
      <c r="A179" s="23" t="n">
        <v>46435</v>
      </c>
      <c r="B179" s="24" t="n"/>
      <c r="C179" s="24" t="n"/>
      <c r="D179" s="12">
        <f>IF($B179="","",SUM($C$4:$C179))</f>
        <v/>
      </c>
      <c r="E179" s="12">
        <f>IF($B179="","",$B179-$D179)</f>
        <v/>
      </c>
      <c r="F179" s="12">
        <f>IF($B179="","",MAX($B$4:$B179))</f>
        <v/>
      </c>
      <c r="G179" s="14">
        <f>IF($B179="","",IFERROR($B179/MAX($B$4:$B179)-1,0))</f>
        <v/>
      </c>
      <c r="H179" s="26" t="n"/>
    </row>
    <row r="180">
      <c r="A180" s="23" t="n">
        <v>46436</v>
      </c>
      <c r="B180" s="24" t="n"/>
      <c r="C180" s="24" t="n"/>
      <c r="D180" s="12">
        <f>IF($B180="","",SUM($C$4:$C180))</f>
        <v/>
      </c>
      <c r="E180" s="12">
        <f>IF($B180="","",$B180-$D180)</f>
        <v/>
      </c>
      <c r="F180" s="12">
        <f>IF($B180="","",MAX($B$4:$B180))</f>
        <v/>
      </c>
      <c r="G180" s="14">
        <f>IF($B180="","",IFERROR($B180/MAX($B$4:$B180)-1,0))</f>
        <v/>
      </c>
      <c r="H180" s="26" t="n"/>
    </row>
    <row r="181">
      <c r="A181" s="23" t="n">
        <v>46437</v>
      </c>
      <c r="B181" s="24" t="n"/>
      <c r="C181" s="24" t="n"/>
      <c r="D181" s="12">
        <f>IF($B181="","",SUM($C$4:$C181))</f>
        <v/>
      </c>
      <c r="E181" s="12">
        <f>IF($B181="","",$B181-$D181)</f>
        <v/>
      </c>
      <c r="F181" s="12">
        <f>IF($B181="","",MAX($B$4:$B181))</f>
        <v/>
      </c>
      <c r="G181" s="14">
        <f>IF($B181="","",IFERROR($B181/MAX($B$4:$B181)-1,0))</f>
        <v/>
      </c>
      <c r="H181" s="26" t="n"/>
    </row>
    <row r="182">
      <c r="A182" s="23" t="n">
        <v>46438</v>
      </c>
      <c r="B182" s="24" t="n"/>
      <c r="C182" s="24" t="n"/>
      <c r="D182" s="12">
        <f>IF($B182="","",SUM($C$4:$C182))</f>
        <v/>
      </c>
      <c r="E182" s="12">
        <f>IF($B182="","",$B182-$D182)</f>
        <v/>
      </c>
      <c r="F182" s="12">
        <f>IF($B182="","",MAX($B$4:$B182))</f>
        <v/>
      </c>
      <c r="G182" s="14">
        <f>IF($B182="","",IFERROR($B182/MAX($B$4:$B182)-1,0))</f>
        <v/>
      </c>
      <c r="H182" s="26" t="n"/>
    </row>
    <row r="183">
      <c r="A183" s="23" t="n">
        <v>46439</v>
      </c>
      <c r="B183" s="24" t="n"/>
      <c r="C183" s="24" t="n"/>
      <c r="D183" s="12">
        <f>IF($B183="","",SUM($C$4:$C183))</f>
        <v/>
      </c>
      <c r="E183" s="12">
        <f>IF($B183="","",$B183-$D183)</f>
        <v/>
      </c>
      <c r="F183" s="12">
        <f>IF($B183="","",MAX($B$4:$B183))</f>
        <v/>
      </c>
      <c r="G183" s="14">
        <f>IF($B183="","",IFERROR($B183/MAX($B$4:$B183)-1,0))</f>
        <v/>
      </c>
      <c r="H183" s="26" t="n"/>
    </row>
    <row r="184">
      <c r="A184" s="23" t="n">
        <v>46440</v>
      </c>
      <c r="B184" s="24" t="n"/>
      <c r="C184" s="24" t="n"/>
      <c r="D184" s="12">
        <f>IF($B184="","",SUM($C$4:$C184))</f>
        <v/>
      </c>
      <c r="E184" s="12">
        <f>IF($B184="","",$B184-$D184)</f>
        <v/>
      </c>
      <c r="F184" s="12">
        <f>IF($B184="","",MAX($B$4:$B184))</f>
        <v/>
      </c>
      <c r="G184" s="14">
        <f>IF($B184="","",IFERROR($B184/MAX($B$4:$B184)-1,0))</f>
        <v/>
      </c>
      <c r="H184" s="26" t="n"/>
    </row>
    <row r="185">
      <c r="A185" s="23" t="n">
        <v>46441</v>
      </c>
      <c r="B185" s="24" t="n"/>
      <c r="C185" s="24" t="n"/>
      <c r="D185" s="12">
        <f>IF($B185="","",SUM($C$4:$C185))</f>
        <v/>
      </c>
      <c r="E185" s="12">
        <f>IF($B185="","",$B185-$D185)</f>
        <v/>
      </c>
      <c r="F185" s="12">
        <f>IF($B185="","",MAX($B$4:$B185))</f>
        <v/>
      </c>
      <c r="G185" s="14">
        <f>IF($B185="","",IFERROR($B185/MAX($B$4:$B185)-1,0))</f>
        <v/>
      </c>
      <c r="H185" s="26" t="n"/>
    </row>
    <row r="186">
      <c r="A186" s="23" t="n">
        <v>46442</v>
      </c>
      <c r="B186" s="24" t="n"/>
      <c r="C186" s="24" t="n"/>
      <c r="D186" s="12">
        <f>IF($B186="","",SUM($C$4:$C186))</f>
        <v/>
      </c>
      <c r="E186" s="12">
        <f>IF($B186="","",$B186-$D186)</f>
        <v/>
      </c>
      <c r="F186" s="12">
        <f>IF($B186="","",MAX($B$4:$B186))</f>
        <v/>
      </c>
      <c r="G186" s="14">
        <f>IF($B186="","",IFERROR($B186/MAX($B$4:$B186)-1,0))</f>
        <v/>
      </c>
      <c r="H186" s="26" t="n"/>
    </row>
    <row r="187">
      <c r="A187" s="23" t="n">
        <v>46443</v>
      </c>
      <c r="B187" s="24" t="n"/>
      <c r="C187" s="24" t="n"/>
      <c r="D187" s="12">
        <f>IF($B187="","",SUM($C$4:$C187))</f>
        <v/>
      </c>
      <c r="E187" s="12">
        <f>IF($B187="","",$B187-$D187)</f>
        <v/>
      </c>
      <c r="F187" s="12">
        <f>IF($B187="","",MAX($B$4:$B187))</f>
        <v/>
      </c>
      <c r="G187" s="14">
        <f>IF($B187="","",IFERROR($B187/MAX($B$4:$B187)-1,0))</f>
        <v/>
      </c>
      <c r="H187" s="26" t="n"/>
    </row>
    <row r="188">
      <c r="A188" s="23" t="n">
        <v>46444</v>
      </c>
      <c r="B188" s="24" t="n"/>
      <c r="C188" s="24" t="n"/>
      <c r="D188" s="12">
        <f>IF($B188="","",SUM($C$4:$C188))</f>
        <v/>
      </c>
      <c r="E188" s="12">
        <f>IF($B188="","",$B188-$D188)</f>
        <v/>
      </c>
      <c r="F188" s="12">
        <f>IF($B188="","",MAX($B$4:$B188))</f>
        <v/>
      </c>
      <c r="G188" s="14">
        <f>IF($B188="","",IFERROR($B188/MAX($B$4:$B188)-1,0))</f>
        <v/>
      </c>
      <c r="H188" s="26" t="n"/>
    </row>
    <row r="189">
      <c r="A189" s="23" t="n">
        <v>46445</v>
      </c>
      <c r="B189" s="24" t="n"/>
      <c r="C189" s="24" t="n"/>
      <c r="D189" s="12">
        <f>IF($B189="","",SUM($C$4:$C189))</f>
        <v/>
      </c>
      <c r="E189" s="12">
        <f>IF($B189="","",$B189-$D189)</f>
        <v/>
      </c>
      <c r="F189" s="12">
        <f>IF($B189="","",MAX($B$4:$B189))</f>
        <v/>
      </c>
      <c r="G189" s="14">
        <f>IF($B189="","",IFERROR($B189/MAX($B$4:$B189)-1,0))</f>
        <v/>
      </c>
      <c r="H189" s="26" t="n"/>
    </row>
    <row r="190">
      <c r="A190" s="23" t="n">
        <v>46446</v>
      </c>
      <c r="B190" s="24" t="n"/>
      <c r="C190" s="24" t="n"/>
      <c r="D190" s="12">
        <f>IF($B190="","",SUM($C$4:$C190))</f>
        <v/>
      </c>
      <c r="E190" s="12">
        <f>IF($B190="","",$B190-$D190)</f>
        <v/>
      </c>
      <c r="F190" s="12">
        <f>IF($B190="","",MAX($B$4:$B190))</f>
        <v/>
      </c>
      <c r="G190" s="14">
        <f>IF($B190="","",IFERROR($B190/MAX($B$4:$B190)-1,0))</f>
        <v/>
      </c>
      <c r="H190" s="26" t="n"/>
    </row>
    <row r="191">
      <c r="A191" s="31" t="n">
        <v>46447</v>
      </c>
      <c r="B191" s="24" t="n"/>
      <c r="C191" s="24" t="n"/>
      <c r="D191" s="12">
        <f>IF($B191="","",SUM($C$4:$C191))</f>
        <v/>
      </c>
      <c r="E191" s="12">
        <f>IF($B191="","",$B191-$D191)</f>
        <v/>
      </c>
      <c r="F191" s="12">
        <f>IF($B191="","",MAX($B$4:$B191))</f>
        <v/>
      </c>
      <c r="G191" s="14">
        <f>IF($B191="","",IFERROR($B191/MAX($B$4:$B191)-1,0))</f>
        <v/>
      </c>
      <c r="H191" s="26" t="n"/>
    </row>
    <row r="192">
      <c r="A192" s="23" t="n">
        <v>46448</v>
      </c>
      <c r="B192" s="24" t="n"/>
      <c r="C192" s="24" t="n"/>
      <c r="D192" s="12">
        <f>IF($B192="","",SUM($C$4:$C192))</f>
        <v/>
      </c>
      <c r="E192" s="12">
        <f>IF($B192="","",$B192-$D192)</f>
        <v/>
      </c>
      <c r="F192" s="12">
        <f>IF($B192="","",MAX($B$4:$B192))</f>
        <v/>
      </c>
      <c r="G192" s="14">
        <f>IF($B192="","",IFERROR($B192/MAX($B$4:$B192)-1,0))</f>
        <v/>
      </c>
      <c r="H192" s="26" t="n"/>
    </row>
    <row r="193">
      <c r="A193" s="23" t="n">
        <v>46449</v>
      </c>
      <c r="B193" s="24" t="n"/>
      <c r="C193" s="24" t="n"/>
      <c r="D193" s="12">
        <f>IF($B193="","",SUM($C$4:$C193))</f>
        <v/>
      </c>
      <c r="E193" s="12">
        <f>IF($B193="","",$B193-$D193)</f>
        <v/>
      </c>
      <c r="F193" s="12">
        <f>IF($B193="","",MAX($B$4:$B193))</f>
        <v/>
      </c>
      <c r="G193" s="14">
        <f>IF($B193="","",IFERROR($B193/MAX($B$4:$B193)-1,0))</f>
        <v/>
      </c>
      <c r="H193" s="26" t="n"/>
    </row>
    <row r="194">
      <c r="A194" s="23" t="n">
        <v>46450</v>
      </c>
      <c r="B194" s="24" t="n"/>
      <c r="C194" s="24" t="n"/>
      <c r="D194" s="12">
        <f>IF($B194="","",SUM($C$4:$C194))</f>
        <v/>
      </c>
      <c r="E194" s="12">
        <f>IF($B194="","",$B194-$D194)</f>
        <v/>
      </c>
      <c r="F194" s="12">
        <f>IF($B194="","",MAX($B$4:$B194))</f>
        <v/>
      </c>
      <c r="G194" s="14">
        <f>IF($B194="","",IFERROR($B194/MAX($B$4:$B194)-1,0))</f>
        <v/>
      </c>
      <c r="H194" s="26" t="n"/>
    </row>
    <row r="195">
      <c r="A195" s="23" t="n">
        <v>46451</v>
      </c>
      <c r="B195" s="24" t="n"/>
      <c r="C195" s="24" t="n"/>
      <c r="D195" s="12">
        <f>IF($B195="","",SUM($C$4:$C195))</f>
        <v/>
      </c>
      <c r="E195" s="12">
        <f>IF($B195="","",$B195-$D195)</f>
        <v/>
      </c>
      <c r="F195" s="12">
        <f>IF($B195="","",MAX($B$4:$B195))</f>
        <v/>
      </c>
      <c r="G195" s="14">
        <f>IF($B195="","",IFERROR($B195/MAX($B$4:$B195)-1,0))</f>
        <v/>
      </c>
      <c r="H195" s="26" t="n"/>
    </row>
    <row r="196">
      <c r="A196" s="23" t="n">
        <v>46452</v>
      </c>
      <c r="B196" s="24" t="n"/>
      <c r="C196" s="24" t="n"/>
      <c r="D196" s="12">
        <f>IF($B196="","",SUM($C$4:$C196))</f>
        <v/>
      </c>
      <c r="E196" s="12">
        <f>IF($B196="","",$B196-$D196)</f>
        <v/>
      </c>
      <c r="F196" s="12">
        <f>IF($B196="","",MAX($B$4:$B196))</f>
        <v/>
      </c>
      <c r="G196" s="14">
        <f>IF($B196="","",IFERROR($B196/MAX($B$4:$B196)-1,0))</f>
        <v/>
      </c>
      <c r="H196" s="26" t="n"/>
    </row>
    <row r="197">
      <c r="A197" s="23" t="n">
        <v>46453</v>
      </c>
      <c r="B197" s="24" t="n"/>
      <c r="C197" s="24" t="n"/>
      <c r="D197" s="12">
        <f>IF($B197="","",SUM($C$4:$C197))</f>
        <v/>
      </c>
      <c r="E197" s="12">
        <f>IF($B197="","",$B197-$D197)</f>
        <v/>
      </c>
      <c r="F197" s="12">
        <f>IF($B197="","",MAX($B$4:$B197))</f>
        <v/>
      </c>
      <c r="G197" s="14">
        <f>IF($B197="","",IFERROR($B197/MAX($B$4:$B197)-1,0))</f>
        <v/>
      </c>
      <c r="H197" s="26" t="n"/>
    </row>
    <row r="198">
      <c r="A198" s="23" t="n">
        <v>46454</v>
      </c>
      <c r="B198" s="24" t="n"/>
      <c r="C198" s="24" t="n"/>
      <c r="D198" s="12">
        <f>IF($B198="","",SUM($C$4:$C198))</f>
        <v/>
      </c>
      <c r="E198" s="12">
        <f>IF($B198="","",$B198-$D198)</f>
        <v/>
      </c>
      <c r="F198" s="12">
        <f>IF($B198="","",MAX($B$4:$B198))</f>
        <v/>
      </c>
      <c r="G198" s="14">
        <f>IF($B198="","",IFERROR($B198/MAX($B$4:$B198)-1,0))</f>
        <v/>
      </c>
      <c r="H198" s="26" t="n"/>
    </row>
    <row r="199">
      <c r="A199" s="23" t="n">
        <v>46455</v>
      </c>
      <c r="B199" s="24" t="n"/>
      <c r="C199" s="24" t="n"/>
      <c r="D199" s="12">
        <f>IF($B199="","",SUM($C$4:$C199))</f>
        <v/>
      </c>
      <c r="E199" s="12">
        <f>IF($B199="","",$B199-$D199)</f>
        <v/>
      </c>
      <c r="F199" s="12">
        <f>IF($B199="","",MAX($B$4:$B199))</f>
        <v/>
      </c>
      <c r="G199" s="14">
        <f>IF($B199="","",IFERROR($B199/MAX($B$4:$B199)-1,0))</f>
        <v/>
      </c>
      <c r="H199" s="26" t="n"/>
    </row>
    <row r="200">
      <c r="A200" s="23" t="n">
        <v>46456</v>
      </c>
      <c r="B200" s="24" t="n"/>
      <c r="C200" s="24" t="n"/>
      <c r="D200" s="12">
        <f>IF($B200="","",SUM($C$4:$C200))</f>
        <v/>
      </c>
      <c r="E200" s="12">
        <f>IF($B200="","",$B200-$D200)</f>
        <v/>
      </c>
      <c r="F200" s="12">
        <f>IF($B200="","",MAX($B$4:$B200))</f>
        <v/>
      </c>
      <c r="G200" s="14">
        <f>IF($B200="","",IFERROR($B200/MAX($B$4:$B200)-1,0))</f>
        <v/>
      </c>
      <c r="H200" s="26" t="n"/>
    </row>
    <row r="201">
      <c r="A201" s="23" t="n">
        <v>46457</v>
      </c>
      <c r="B201" s="24" t="n"/>
      <c r="C201" s="24" t="n"/>
      <c r="D201" s="12">
        <f>IF($B201="","",SUM($C$4:$C201))</f>
        <v/>
      </c>
      <c r="E201" s="12">
        <f>IF($B201="","",$B201-$D201)</f>
        <v/>
      </c>
      <c r="F201" s="12">
        <f>IF($B201="","",MAX($B$4:$B201))</f>
        <v/>
      </c>
      <c r="G201" s="14">
        <f>IF($B201="","",IFERROR($B201/MAX($B$4:$B201)-1,0))</f>
        <v/>
      </c>
      <c r="H201" s="26" t="n"/>
    </row>
    <row r="202">
      <c r="A202" s="23" t="n">
        <v>46458</v>
      </c>
      <c r="B202" s="24" t="n"/>
      <c r="C202" s="24" t="n"/>
      <c r="D202" s="12">
        <f>IF($B202="","",SUM($C$4:$C202))</f>
        <v/>
      </c>
      <c r="E202" s="12">
        <f>IF($B202="","",$B202-$D202)</f>
        <v/>
      </c>
      <c r="F202" s="12">
        <f>IF($B202="","",MAX($B$4:$B202))</f>
        <v/>
      </c>
      <c r="G202" s="14">
        <f>IF($B202="","",IFERROR($B202/MAX($B$4:$B202)-1,0))</f>
        <v/>
      </c>
      <c r="H202" s="26" t="n"/>
    </row>
    <row r="203">
      <c r="A203" s="23" t="n">
        <v>46459</v>
      </c>
      <c r="B203" s="24" t="n"/>
      <c r="C203" s="24" t="n"/>
      <c r="D203" s="12">
        <f>IF($B203="","",SUM($C$4:$C203))</f>
        <v/>
      </c>
      <c r="E203" s="12">
        <f>IF($B203="","",$B203-$D203)</f>
        <v/>
      </c>
      <c r="F203" s="12">
        <f>IF($B203="","",MAX($B$4:$B203))</f>
        <v/>
      </c>
      <c r="G203" s="14">
        <f>IF($B203="","",IFERROR($B203/MAX($B$4:$B203)-1,0))</f>
        <v/>
      </c>
      <c r="H203" s="26" t="n"/>
    </row>
    <row r="204">
      <c r="A204" s="23" t="n">
        <v>46460</v>
      </c>
      <c r="B204" s="24" t="n"/>
      <c r="C204" s="24" t="n"/>
      <c r="D204" s="12">
        <f>IF($B204="","",SUM($C$4:$C204))</f>
        <v/>
      </c>
      <c r="E204" s="12">
        <f>IF($B204="","",$B204-$D204)</f>
        <v/>
      </c>
      <c r="F204" s="12">
        <f>IF($B204="","",MAX($B$4:$B204))</f>
        <v/>
      </c>
      <c r="G204" s="14">
        <f>IF($B204="","",IFERROR($B204/MAX($B$4:$B204)-1,0))</f>
        <v/>
      </c>
      <c r="H204" s="26" t="n"/>
    </row>
    <row r="205">
      <c r="A205" s="23" t="n">
        <v>46461</v>
      </c>
      <c r="B205" s="24" t="n"/>
      <c r="C205" s="24" t="n"/>
      <c r="D205" s="12">
        <f>IF($B205="","",SUM($C$4:$C205))</f>
        <v/>
      </c>
      <c r="E205" s="12">
        <f>IF($B205="","",$B205-$D205)</f>
        <v/>
      </c>
      <c r="F205" s="12">
        <f>IF($B205="","",MAX($B$4:$B205))</f>
        <v/>
      </c>
      <c r="G205" s="14">
        <f>IF($B205="","",IFERROR($B205/MAX($B$4:$B205)-1,0))</f>
        <v/>
      </c>
      <c r="H205" s="26" t="n"/>
    </row>
    <row r="206">
      <c r="A206" s="31" t="n">
        <v>46462</v>
      </c>
      <c r="B206" s="24" t="n"/>
      <c r="C206" s="24" t="n"/>
      <c r="D206" s="12">
        <f>IF($B206="","",SUM($C$4:$C206))</f>
        <v/>
      </c>
      <c r="E206" s="12">
        <f>IF($B206="","",$B206-$D206)</f>
        <v/>
      </c>
      <c r="F206" s="12">
        <f>IF($B206="","",MAX($B$4:$B206))</f>
        <v/>
      </c>
      <c r="G206" s="14">
        <f>IF($B206="","",IFERROR($B206/MAX($B$4:$B206)-1,0))</f>
        <v/>
      </c>
      <c r="H206" s="26" t="n"/>
    </row>
    <row r="207">
      <c r="A207" s="23" t="n">
        <v>46463</v>
      </c>
      <c r="B207" s="24" t="n"/>
      <c r="C207" s="24" t="n"/>
      <c r="D207" s="12">
        <f>IF($B207="","",SUM($C$4:$C207))</f>
        <v/>
      </c>
      <c r="E207" s="12">
        <f>IF($B207="","",$B207-$D207)</f>
        <v/>
      </c>
      <c r="F207" s="12">
        <f>IF($B207="","",MAX($B$4:$B207))</f>
        <v/>
      </c>
      <c r="G207" s="14">
        <f>IF($B207="","",IFERROR($B207/MAX($B$4:$B207)-1,0))</f>
        <v/>
      </c>
      <c r="H207" s="26" t="n"/>
    </row>
    <row r="208">
      <c r="A208" s="23" t="n">
        <v>46464</v>
      </c>
      <c r="B208" s="24" t="n"/>
      <c r="C208" s="24" t="n"/>
      <c r="D208" s="12">
        <f>IF($B208="","",SUM($C$4:$C208))</f>
        <v/>
      </c>
      <c r="E208" s="12">
        <f>IF($B208="","",$B208-$D208)</f>
        <v/>
      </c>
      <c r="F208" s="12">
        <f>IF($B208="","",MAX($B$4:$B208))</f>
        <v/>
      </c>
      <c r="G208" s="14">
        <f>IF($B208="","",IFERROR($B208/MAX($B$4:$B208)-1,0))</f>
        <v/>
      </c>
      <c r="H208" s="26" t="n"/>
    </row>
    <row r="209">
      <c r="A209" s="23" t="n">
        <v>46465</v>
      </c>
      <c r="B209" s="24" t="n"/>
      <c r="C209" s="24" t="n"/>
      <c r="D209" s="12">
        <f>IF($B209="","",SUM($C$4:$C209))</f>
        <v/>
      </c>
      <c r="E209" s="12">
        <f>IF($B209="","",$B209-$D209)</f>
        <v/>
      </c>
      <c r="F209" s="12">
        <f>IF($B209="","",MAX($B$4:$B209))</f>
        <v/>
      </c>
      <c r="G209" s="14">
        <f>IF($B209="","",IFERROR($B209/MAX($B$4:$B209)-1,0))</f>
        <v/>
      </c>
      <c r="H209" s="26" t="n"/>
    </row>
    <row r="210">
      <c r="A210" s="23" t="n">
        <v>46466</v>
      </c>
      <c r="B210" s="24" t="n"/>
      <c r="C210" s="24" t="n"/>
      <c r="D210" s="12">
        <f>IF($B210="","",SUM($C$4:$C210))</f>
        <v/>
      </c>
      <c r="E210" s="12">
        <f>IF($B210="","",$B210-$D210)</f>
        <v/>
      </c>
      <c r="F210" s="12">
        <f>IF($B210="","",MAX($B$4:$B210))</f>
        <v/>
      </c>
      <c r="G210" s="14">
        <f>IF($B210="","",IFERROR($B210/MAX($B$4:$B210)-1,0))</f>
        <v/>
      </c>
      <c r="H210" s="26" t="n"/>
    </row>
    <row r="211">
      <c r="A211" s="23" t="n">
        <v>46467</v>
      </c>
      <c r="B211" s="24" t="n"/>
      <c r="C211" s="24" t="n"/>
      <c r="D211" s="12">
        <f>IF($B211="","",SUM($C$4:$C211))</f>
        <v/>
      </c>
      <c r="E211" s="12">
        <f>IF($B211="","",$B211-$D211)</f>
        <v/>
      </c>
      <c r="F211" s="12">
        <f>IF($B211="","",MAX($B$4:$B211))</f>
        <v/>
      </c>
      <c r="G211" s="14">
        <f>IF($B211="","",IFERROR($B211/MAX($B$4:$B211)-1,0))</f>
        <v/>
      </c>
      <c r="H211" s="26" t="n"/>
    </row>
    <row r="212">
      <c r="A212" s="23" t="n">
        <v>46468</v>
      </c>
      <c r="B212" s="24" t="n"/>
      <c r="C212" s="24" t="n"/>
      <c r="D212" s="12">
        <f>IF($B212="","",SUM($C$4:$C212))</f>
        <v/>
      </c>
      <c r="E212" s="12">
        <f>IF($B212="","",$B212-$D212)</f>
        <v/>
      </c>
      <c r="F212" s="12">
        <f>IF($B212="","",MAX($B$4:$B212))</f>
        <v/>
      </c>
      <c r="G212" s="14">
        <f>IF($B212="","",IFERROR($B212/MAX($B$4:$B212)-1,0))</f>
        <v/>
      </c>
      <c r="H212" s="26" t="n"/>
    </row>
    <row r="213">
      <c r="A213" s="23" t="n">
        <v>46469</v>
      </c>
      <c r="B213" s="24" t="n"/>
      <c r="C213" s="24" t="n"/>
      <c r="D213" s="12">
        <f>IF($B213="","",SUM($C$4:$C213))</f>
        <v/>
      </c>
      <c r="E213" s="12">
        <f>IF($B213="","",$B213-$D213)</f>
        <v/>
      </c>
      <c r="F213" s="12">
        <f>IF($B213="","",MAX($B$4:$B213))</f>
        <v/>
      </c>
      <c r="G213" s="14">
        <f>IF($B213="","",IFERROR($B213/MAX($B$4:$B213)-1,0))</f>
        <v/>
      </c>
      <c r="H213" s="26" t="n"/>
    </row>
    <row r="214">
      <c r="A214" s="23" t="n">
        <v>46470</v>
      </c>
      <c r="B214" s="24" t="n"/>
      <c r="C214" s="24" t="n"/>
      <c r="D214" s="12">
        <f>IF($B214="","",SUM($C$4:$C214))</f>
        <v/>
      </c>
      <c r="E214" s="12">
        <f>IF($B214="","",$B214-$D214)</f>
        <v/>
      </c>
      <c r="F214" s="12">
        <f>IF($B214="","",MAX($B$4:$B214))</f>
        <v/>
      </c>
      <c r="G214" s="14">
        <f>IF($B214="","",IFERROR($B214/MAX($B$4:$B214)-1,0))</f>
        <v/>
      </c>
      <c r="H214" s="26" t="n"/>
    </row>
    <row r="215">
      <c r="A215" s="23" t="n">
        <v>46471</v>
      </c>
      <c r="B215" s="24" t="n"/>
      <c r="C215" s="24" t="n"/>
      <c r="D215" s="12">
        <f>IF($B215="","",SUM($C$4:$C215))</f>
        <v/>
      </c>
      <c r="E215" s="12">
        <f>IF($B215="","",$B215-$D215)</f>
        <v/>
      </c>
      <c r="F215" s="12">
        <f>IF($B215="","",MAX($B$4:$B215))</f>
        <v/>
      </c>
      <c r="G215" s="14">
        <f>IF($B215="","",IFERROR($B215/MAX($B$4:$B215)-1,0))</f>
        <v/>
      </c>
      <c r="H215" s="26" t="n"/>
    </row>
    <row r="216">
      <c r="A216" s="23" t="n">
        <v>46472</v>
      </c>
      <c r="B216" s="24" t="n"/>
      <c r="C216" s="24" t="n"/>
      <c r="D216" s="12">
        <f>IF($B216="","",SUM($C$4:$C216))</f>
        <v/>
      </c>
      <c r="E216" s="12">
        <f>IF($B216="","",$B216-$D216)</f>
        <v/>
      </c>
      <c r="F216" s="12">
        <f>IF($B216="","",MAX($B$4:$B216))</f>
        <v/>
      </c>
      <c r="G216" s="14">
        <f>IF($B216="","",IFERROR($B216/MAX($B$4:$B216)-1,0))</f>
        <v/>
      </c>
      <c r="H216" s="26" t="n"/>
    </row>
    <row r="217">
      <c r="A217" s="23" t="n">
        <v>46473</v>
      </c>
      <c r="B217" s="24" t="n"/>
      <c r="C217" s="24" t="n"/>
      <c r="D217" s="12">
        <f>IF($B217="","",SUM($C$4:$C217))</f>
        <v/>
      </c>
      <c r="E217" s="12">
        <f>IF($B217="","",$B217-$D217)</f>
        <v/>
      </c>
      <c r="F217" s="12">
        <f>IF($B217="","",MAX($B$4:$B217))</f>
        <v/>
      </c>
      <c r="G217" s="14">
        <f>IF($B217="","",IFERROR($B217/MAX($B$4:$B217)-1,0))</f>
        <v/>
      </c>
      <c r="H217" s="26" t="n"/>
    </row>
    <row r="218">
      <c r="A218" s="23" t="n">
        <v>46474</v>
      </c>
      <c r="B218" s="24" t="n"/>
      <c r="C218" s="24" t="n"/>
      <c r="D218" s="12">
        <f>IF($B218="","",SUM($C$4:$C218))</f>
        <v/>
      </c>
      <c r="E218" s="12">
        <f>IF($B218="","",$B218-$D218)</f>
        <v/>
      </c>
      <c r="F218" s="12">
        <f>IF($B218="","",MAX($B$4:$B218))</f>
        <v/>
      </c>
      <c r="G218" s="14">
        <f>IF($B218="","",IFERROR($B218/MAX($B$4:$B218)-1,0))</f>
        <v/>
      </c>
      <c r="H218" s="26" t="n"/>
    </row>
    <row r="219">
      <c r="A219" s="23" t="n">
        <v>46475</v>
      </c>
      <c r="B219" s="24" t="n"/>
      <c r="C219" s="24" t="n"/>
      <c r="D219" s="12">
        <f>IF($B219="","",SUM($C$4:$C219))</f>
        <v/>
      </c>
      <c r="E219" s="12">
        <f>IF($B219="","",$B219-$D219)</f>
        <v/>
      </c>
      <c r="F219" s="12">
        <f>IF($B219="","",MAX($B$4:$B219))</f>
        <v/>
      </c>
      <c r="G219" s="14">
        <f>IF($B219="","",IFERROR($B219/MAX($B$4:$B219)-1,0))</f>
        <v/>
      </c>
      <c r="H219" s="26" t="n"/>
    </row>
    <row r="220">
      <c r="A220" s="23" t="n">
        <v>46476</v>
      </c>
      <c r="B220" s="24" t="n"/>
      <c r="C220" s="24" t="n"/>
      <c r="D220" s="12">
        <f>IF($B220="","",SUM($C$4:$C220))</f>
        <v/>
      </c>
      <c r="E220" s="12">
        <f>IF($B220="","",$B220-$D220)</f>
        <v/>
      </c>
      <c r="F220" s="12">
        <f>IF($B220="","",MAX($B$4:$B220))</f>
        <v/>
      </c>
      <c r="G220" s="14">
        <f>IF($B220="","",IFERROR($B220/MAX($B$4:$B220)-1,0))</f>
        <v/>
      </c>
      <c r="H220" s="26" t="n"/>
    </row>
    <row r="221">
      <c r="A221" s="23" t="n">
        <v>46477</v>
      </c>
      <c r="B221" s="24" t="n"/>
      <c r="C221" s="24" t="n"/>
      <c r="D221" s="12">
        <f>IF($B221="","",SUM($C$4:$C221))</f>
        <v/>
      </c>
      <c r="E221" s="12">
        <f>IF($B221="","",$B221-$D221)</f>
        <v/>
      </c>
      <c r="F221" s="12">
        <f>IF($B221="","",MAX($B$4:$B221))</f>
        <v/>
      </c>
      <c r="G221" s="14">
        <f>IF($B221="","",IFERROR($B221/MAX($B$4:$B221)-1,0))</f>
        <v/>
      </c>
      <c r="H221" s="26" t="n"/>
    </row>
    <row r="222">
      <c r="A222" s="31" t="n">
        <v>46478</v>
      </c>
      <c r="B222" s="24" t="n"/>
      <c r="C222" s="24" t="n"/>
      <c r="D222" s="12">
        <f>IF($B222="","",SUM($C$4:$C222))</f>
        <v/>
      </c>
      <c r="E222" s="12">
        <f>IF($B222="","",$B222-$D222)</f>
        <v/>
      </c>
      <c r="F222" s="12">
        <f>IF($B222="","",MAX($B$4:$B222))</f>
        <v/>
      </c>
      <c r="G222" s="14">
        <f>IF($B222="","",IFERROR($B222/MAX($B$4:$B222)-1,0))</f>
        <v/>
      </c>
      <c r="H222" s="26" t="n"/>
    </row>
    <row r="223">
      <c r="A223" s="23" t="n">
        <v>46479</v>
      </c>
      <c r="B223" s="24" t="n"/>
      <c r="C223" s="24" t="n"/>
      <c r="D223" s="12">
        <f>IF($B223="","",SUM($C$4:$C223))</f>
        <v/>
      </c>
      <c r="E223" s="12">
        <f>IF($B223="","",$B223-$D223)</f>
        <v/>
      </c>
      <c r="F223" s="12">
        <f>IF($B223="","",MAX($B$4:$B223))</f>
        <v/>
      </c>
      <c r="G223" s="14">
        <f>IF($B223="","",IFERROR($B223/MAX($B$4:$B223)-1,0))</f>
        <v/>
      </c>
      <c r="H223" s="26" t="n"/>
    </row>
    <row r="224">
      <c r="A224" s="23" t="n">
        <v>46480</v>
      </c>
      <c r="B224" s="24" t="n"/>
      <c r="C224" s="24" t="n"/>
      <c r="D224" s="12">
        <f>IF($B224="","",SUM($C$4:$C224))</f>
        <v/>
      </c>
      <c r="E224" s="12">
        <f>IF($B224="","",$B224-$D224)</f>
        <v/>
      </c>
      <c r="F224" s="12">
        <f>IF($B224="","",MAX($B$4:$B224))</f>
        <v/>
      </c>
      <c r="G224" s="14">
        <f>IF($B224="","",IFERROR($B224/MAX($B$4:$B224)-1,0))</f>
        <v/>
      </c>
      <c r="H224" s="26" t="n"/>
    </row>
    <row r="225">
      <c r="A225" s="23" t="n">
        <v>46481</v>
      </c>
      <c r="B225" s="24" t="n"/>
      <c r="C225" s="24" t="n"/>
      <c r="D225" s="12">
        <f>IF($B225="","",SUM($C$4:$C225))</f>
        <v/>
      </c>
      <c r="E225" s="12">
        <f>IF($B225="","",$B225-$D225)</f>
        <v/>
      </c>
      <c r="F225" s="12">
        <f>IF($B225="","",MAX($B$4:$B225))</f>
        <v/>
      </c>
      <c r="G225" s="14">
        <f>IF($B225="","",IFERROR($B225/MAX($B$4:$B225)-1,0))</f>
        <v/>
      </c>
      <c r="H225" s="26" t="n"/>
    </row>
    <row r="226">
      <c r="A226" s="23" t="n">
        <v>46482</v>
      </c>
      <c r="B226" s="24" t="n"/>
      <c r="C226" s="24" t="n"/>
      <c r="D226" s="12">
        <f>IF($B226="","",SUM($C$4:$C226))</f>
        <v/>
      </c>
      <c r="E226" s="12">
        <f>IF($B226="","",$B226-$D226)</f>
        <v/>
      </c>
      <c r="F226" s="12">
        <f>IF($B226="","",MAX($B$4:$B226))</f>
        <v/>
      </c>
      <c r="G226" s="14">
        <f>IF($B226="","",IFERROR($B226/MAX($B$4:$B226)-1,0))</f>
        <v/>
      </c>
      <c r="H226" s="26" t="n"/>
    </row>
    <row r="227">
      <c r="A227" s="23" t="n">
        <v>46483</v>
      </c>
      <c r="B227" s="24" t="n"/>
      <c r="C227" s="24" t="n"/>
      <c r="D227" s="12">
        <f>IF($B227="","",SUM($C$4:$C227))</f>
        <v/>
      </c>
      <c r="E227" s="12">
        <f>IF($B227="","",$B227-$D227)</f>
        <v/>
      </c>
      <c r="F227" s="12">
        <f>IF($B227="","",MAX($B$4:$B227))</f>
        <v/>
      </c>
      <c r="G227" s="14">
        <f>IF($B227="","",IFERROR($B227/MAX($B$4:$B227)-1,0))</f>
        <v/>
      </c>
      <c r="H227" s="26" t="n"/>
    </row>
    <row r="228">
      <c r="A228" s="23" t="n">
        <v>46484</v>
      </c>
      <c r="B228" s="24" t="n"/>
      <c r="C228" s="24" t="n"/>
      <c r="D228" s="12">
        <f>IF($B228="","",SUM($C$4:$C228))</f>
        <v/>
      </c>
      <c r="E228" s="12">
        <f>IF($B228="","",$B228-$D228)</f>
        <v/>
      </c>
      <c r="F228" s="12">
        <f>IF($B228="","",MAX($B$4:$B228))</f>
        <v/>
      </c>
      <c r="G228" s="14">
        <f>IF($B228="","",IFERROR($B228/MAX($B$4:$B228)-1,0))</f>
        <v/>
      </c>
      <c r="H228" s="26" t="n"/>
    </row>
    <row r="229">
      <c r="A229" s="23" t="n">
        <v>46485</v>
      </c>
      <c r="B229" s="24" t="n"/>
      <c r="C229" s="24" t="n"/>
      <c r="D229" s="12">
        <f>IF($B229="","",SUM($C$4:$C229))</f>
        <v/>
      </c>
      <c r="E229" s="12">
        <f>IF($B229="","",$B229-$D229)</f>
        <v/>
      </c>
      <c r="F229" s="12">
        <f>IF($B229="","",MAX($B$4:$B229))</f>
        <v/>
      </c>
      <c r="G229" s="14">
        <f>IF($B229="","",IFERROR($B229/MAX($B$4:$B229)-1,0))</f>
        <v/>
      </c>
      <c r="H229" s="26" t="n"/>
    </row>
    <row r="230">
      <c r="A230" s="23" t="n">
        <v>46486</v>
      </c>
      <c r="B230" s="24" t="n"/>
      <c r="C230" s="24" t="n"/>
      <c r="D230" s="12">
        <f>IF($B230="","",SUM($C$4:$C230))</f>
        <v/>
      </c>
      <c r="E230" s="12">
        <f>IF($B230="","",$B230-$D230)</f>
        <v/>
      </c>
      <c r="F230" s="12">
        <f>IF($B230="","",MAX($B$4:$B230))</f>
        <v/>
      </c>
      <c r="G230" s="14">
        <f>IF($B230="","",IFERROR($B230/MAX($B$4:$B230)-1,0))</f>
        <v/>
      </c>
      <c r="H230" s="26" t="n"/>
    </row>
    <row r="231">
      <c r="A231" s="23" t="n">
        <v>46487</v>
      </c>
      <c r="B231" s="24" t="n"/>
      <c r="C231" s="24" t="n"/>
      <c r="D231" s="12">
        <f>IF($B231="","",SUM($C$4:$C231))</f>
        <v/>
      </c>
      <c r="E231" s="12">
        <f>IF($B231="","",$B231-$D231)</f>
        <v/>
      </c>
      <c r="F231" s="12">
        <f>IF($B231="","",MAX($B$4:$B231))</f>
        <v/>
      </c>
      <c r="G231" s="14">
        <f>IF($B231="","",IFERROR($B231/MAX($B$4:$B231)-1,0))</f>
        <v/>
      </c>
      <c r="H231" s="26" t="n"/>
    </row>
    <row r="232">
      <c r="A232" s="23" t="n">
        <v>46488</v>
      </c>
      <c r="B232" s="24" t="n"/>
      <c r="C232" s="24" t="n"/>
      <c r="D232" s="12">
        <f>IF($B232="","",SUM($C$4:$C232))</f>
        <v/>
      </c>
      <c r="E232" s="12">
        <f>IF($B232="","",$B232-$D232)</f>
        <v/>
      </c>
      <c r="F232" s="12">
        <f>IF($B232="","",MAX($B$4:$B232))</f>
        <v/>
      </c>
      <c r="G232" s="14">
        <f>IF($B232="","",IFERROR($B232/MAX($B$4:$B232)-1,0))</f>
        <v/>
      </c>
      <c r="H232" s="26" t="n"/>
    </row>
    <row r="233">
      <c r="A233" s="23" t="n">
        <v>46489</v>
      </c>
      <c r="B233" s="24" t="n"/>
      <c r="C233" s="24" t="n"/>
      <c r="D233" s="12">
        <f>IF($B233="","",SUM($C$4:$C233))</f>
        <v/>
      </c>
      <c r="E233" s="12">
        <f>IF($B233="","",$B233-$D233)</f>
        <v/>
      </c>
      <c r="F233" s="12">
        <f>IF($B233="","",MAX($B$4:$B233))</f>
        <v/>
      </c>
      <c r="G233" s="14">
        <f>IF($B233="","",IFERROR($B233/MAX($B$4:$B233)-1,0))</f>
        <v/>
      </c>
      <c r="H233" s="26" t="n"/>
    </row>
    <row r="234">
      <c r="A234" s="23" t="n">
        <v>46490</v>
      </c>
      <c r="B234" s="24" t="n"/>
      <c r="C234" s="24" t="n"/>
      <c r="D234" s="12">
        <f>IF($B234="","",SUM($C$4:$C234))</f>
        <v/>
      </c>
      <c r="E234" s="12">
        <f>IF($B234="","",$B234-$D234)</f>
        <v/>
      </c>
      <c r="F234" s="12">
        <f>IF($B234="","",MAX($B$4:$B234))</f>
        <v/>
      </c>
      <c r="G234" s="14">
        <f>IF($B234="","",IFERROR($B234/MAX($B$4:$B234)-1,0))</f>
        <v/>
      </c>
      <c r="H234" s="26" t="n"/>
    </row>
    <row r="235">
      <c r="A235" s="23" t="n">
        <v>46491</v>
      </c>
      <c r="B235" s="24" t="n"/>
      <c r="C235" s="24" t="n"/>
      <c r="D235" s="12">
        <f>IF($B235="","",SUM($C$4:$C235))</f>
        <v/>
      </c>
      <c r="E235" s="12">
        <f>IF($B235="","",$B235-$D235)</f>
        <v/>
      </c>
      <c r="F235" s="12">
        <f>IF($B235="","",MAX($B$4:$B235))</f>
        <v/>
      </c>
      <c r="G235" s="14">
        <f>IF($B235="","",IFERROR($B235/MAX($B$4:$B235)-1,0))</f>
        <v/>
      </c>
      <c r="H235" s="26" t="n"/>
    </row>
    <row r="236">
      <c r="A236" s="23" t="n">
        <v>46492</v>
      </c>
      <c r="B236" s="24" t="n"/>
      <c r="C236" s="24" t="n"/>
      <c r="D236" s="12">
        <f>IF($B236="","",SUM($C$4:$C236))</f>
        <v/>
      </c>
      <c r="E236" s="12">
        <f>IF($B236="","",$B236-$D236)</f>
        <v/>
      </c>
      <c r="F236" s="12">
        <f>IF($B236="","",MAX($B$4:$B236))</f>
        <v/>
      </c>
      <c r="G236" s="14">
        <f>IF($B236="","",IFERROR($B236/MAX($B$4:$B236)-1,0))</f>
        <v/>
      </c>
      <c r="H236" s="26" t="n"/>
    </row>
    <row r="237">
      <c r="A237" s="31" t="n">
        <v>46493</v>
      </c>
      <c r="B237" s="24" t="n"/>
      <c r="C237" s="24" t="n"/>
      <c r="D237" s="12">
        <f>IF($B237="","",SUM($C$4:$C237))</f>
        <v/>
      </c>
      <c r="E237" s="12">
        <f>IF($B237="","",$B237-$D237)</f>
        <v/>
      </c>
      <c r="F237" s="12">
        <f>IF($B237="","",MAX($B$4:$B237))</f>
        <v/>
      </c>
      <c r="G237" s="14">
        <f>IF($B237="","",IFERROR($B237/MAX($B$4:$B237)-1,0))</f>
        <v/>
      </c>
      <c r="H237" s="26" t="n"/>
    </row>
    <row r="238">
      <c r="A238" s="23" t="n">
        <v>46494</v>
      </c>
      <c r="B238" s="24" t="n"/>
      <c r="C238" s="24" t="n"/>
      <c r="D238" s="12">
        <f>IF($B238="","",SUM($C$4:$C238))</f>
        <v/>
      </c>
      <c r="E238" s="12">
        <f>IF($B238="","",$B238-$D238)</f>
        <v/>
      </c>
      <c r="F238" s="12">
        <f>IF($B238="","",MAX($B$4:$B238))</f>
        <v/>
      </c>
      <c r="G238" s="14">
        <f>IF($B238="","",IFERROR($B238/MAX($B$4:$B238)-1,0))</f>
        <v/>
      </c>
      <c r="H238" s="26" t="n"/>
    </row>
    <row r="239">
      <c r="A239" s="23" t="n">
        <v>46495</v>
      </c>
      <c r="B239" s="24" t="n"/>
      <c r="C239" s="24" t="n"/>
      <c r="D239" s="12">
        <f>IF($B239="","",SUM($C$4:$C239))</f>
        <v/>
      </c>
      <c r="E239" s="12">
        <f>IF($B239="","",$B239-$D239)</f>
        <v/>
      </c>
      <c r="F239" s="12">
        <f>IF($B239="","",MAX($B$4:$B239))</f>
        <v/>
      </c>
      <c r="G239" s="14">
        <f>IF($B239="","",IFERROR($B239/MAX($B$4:$B239)-1,0))</f>
        <v/>
      </c>
      <c r="H239" s="26" t="n"/>
    </row>
    <row r="240">
      <c r="A240" s="23" t="n">
        <v>46496</v>
      </c>
      <c r="B240" s="24" t="n"/>
      <c r="C240" s="24" t="n"/>
      <c r="D240" s="12">
        <f>IF($B240="","",SUM($C$4:$C240))</f>
        <v/>
      </c>
      <c r="E240" s="12">
        <f>IF($B240="","",$B240-$D240)</f>
        <v/>
      </c>
      <c r="F240" s="12">
        <f>IF($B240="","",MAX($B$4:$B240))</f>
        <v/>
      </c>
      <c r="G240" s="14">
        <f>IF($B240="","",IFERROR($B240/MAX($B$4:$B240)-1,0))</f>
        <v/>
      </c>
      <c r="H240" s="26" t="n"/>
    </row>
    <row r="241">
      <c r="A241" s="23" t="n">
        <v>46497</v>
      </c>
      <c r="B241" s="24" t="n"/>
      <c r="C241" s="24" t="n"/>
      <c r="D241" s="12">
        <f>IF($B241="","",SUM($C$4:$C241))</f>
        <v/>
      </c>
      <c r="E241" s="12">
        <f>IF($B241="","",$B241-$D241)</f>
        <v/>
      </c>
      <c r="F241" s="12">
        <f>IF($B241="","",MAX($B$4:$B241))</f>
        <v/>
      </c>
      <c r="G241" s="14">
        <f>IF($B241="","",IFERROR($B241/MAX($B$4:$B241)-1,0))</f>
        <v/>
      </c>
      <c r="H241" s="26" t="n"/>
    </row>
    <row r="242">
      <c r="A242" s="23" t="n">
        <v>46498</v>
      </c>
      <c r="B242" s="24" t="n"/>
      <c r="C242" s="24" t="n"/>
      <c r="D242" s="12">
        <f>IF($B242="","",SUM($C$4:$C242))</f>
        <v/>
      </c>
      <c r="E242" s="12">
        <f>IF($B242="","",$B242-$D242)</f>
        <v/>
      </c>
      <c r="F242" s="12">
        <f>IF($B242="","",MAX($B$4:$B242))</f>
        <v/>
      </c>
      <c r="G242" s="14">
        <f>IF($B242="","",IFERROR($B242/MAX($B$4:$B242)-1,0))</f>
        <v/>
      </c>
      <c r="H242" s="26" t="n"/>
    </row>
    <row r="243">
      <c r="A243" s="23" t="n">
        <v>46499</v>
      </c>
      <c r="B243" s="24" t="n"/>
      <c r="C243" s="24" t="n"/>
      <c r="D243" s="12">
        <f>IF($B243="","",SUM($C$4:$C243))</f>
        <v/>
      </c>
      <c r="E243" s="12">
        <f>IF($B243="","",$B243-$D243)</f>
        <v/>
      </c>
      <c r="F243" s="12">
        <f>IF($B243="","",MAX($B$4:$B243))</f>
        <v/>
      </c>
      <c r="G243" s="14">
        <f>IF($B243="","",IFERROR($B243/MAX($B$4:$B243)-1,0))</f>
        <v/>
      </c>
      <c r="H243" s="26" t="n"/>
    </row>
    <row r="244">
      <c r="A244" s="23" t="n">
        <v>46500</v>
      </c>
      <c r="B244" s="24" t="n"/>
      <c r="C244" s="24" t="n"/>
      <c r="D244" s="12">
        <f>IF($B244="","",SUM($C$4:$C244))</f>
        <v/>
      </c>
      <c r="E244" s="12">
        <f>IF($B244="","",$B244-$D244)</f>
        <v/>
      </c>
      <c r="F244" s="12">
        <f>IF($B244="","",MAX($B$4:$B244))</f>
        <v/>
      </c>
      <c r="G244" s="14">
        <f>IF($B244="","",IFERROR($B244/MAX($B$4:$B244)-1,0))</f>
        <v/>
      </c>
      <c r="H244" s="26" t="n"/>
    </row>
    <row r="245">
      <c r="A245" s="23" t="n">
        <v>46501</v>
      </c>
      <c r="B245" s="24" t="n"/>
      <c r="C245" s="24" t="n"/>
      <c r="D245" s="12">
        <f>IF($B245="","",SUM($C$4:$C245))</f>
        <v/>
      </c>
      <c r="E245" s="12">
        <f>IF($B245="","",$B245-$D245)</f>
        <v/>
      </c>
      <c r="F245" s="12">
        <f>IF($B245="","",MAX($B$4:$B245))</f>
        <v/>
      </c>
      <c r="G245" s="14">
        <f>IF($B245="","",IFERROR($B245/MAX($B$4:$B245)-1,0))</f>
        <v/>
      </c>
      <c r="H245" s="26" t="n"/>
    </row>
    <row r="246">
      <c r="A246" s="23" t="n">
        <v>46502</v>
      </c>
      <c r="B246" s="24" t="n"/>
      <c r="C246" s="24" t="n"/>
      <c r="D246" s="12">
        <f>IF($B246="","",SUM($C$4:$C246))</f>
        <v/>
      </c>
      <c r="E246" s="12">
        <f>IF($B246="","",$B246-$D246)</f>
        <v/>
      </c>
      <c r="F246" s="12">
        <f>IF($B246="","",MAX($B$4:$B246))</f>
        <v/>
      </c>
      <c r="G246" s="14">
        <f>IF($B246="","",IFERROR($B246/MAX($B$4:$B246)-1,0))</f>
        <v/>
      </c>
      <c r="H246" s="26" t="n"/>
    </row>
    <row r="247">
      <c r="A247" s="23" t="n">
        <v>46503</v>
      </c>
      <c r="B247" s="24" t="n"/>
      <c r="C247" s="24" t="n"/>
      <c r="D247" s="12">
        <f>IF($B247="","",SUM($C$4:$C247))</f>
        <v/>
      </c>
      <c r="E247" s="12">
        <f>IF($B247="","",$B247-$D247)</f>
        <v/>
      </c>
      <c r="F247" s="12">
        <f>IF($B247="","",MAX($B$4:$B247))</f>
        <v/>
      </c>
      <c r="G247" s="14">
        <f>IF($B247="","",IFERROR($B247/MAX($B$4:$B247)-1,0))</f>
        <v/>
      </c>
      <c r="H247" s="26" t="n"/>
    </row>
    <row r="248">
      <c r="A248" s="23" t="n">
        <v>46504</v>
      </c>
      <c r="B248" s="24" t="n"/>
      <c r="C248" s="24" t="n"/>
      <c r="D248" s="12">
        <f>IF($B248="","",SUM($C$4:$C248))</f>
        <v/>
      </c>
      <c r="E248" s="12">
        <f>IF($B248="","",$B248-$D248)</f>
        <v/>
      </c>
      <c r="F248" s="12">
        <f>IF($B248="","",MAX($B$4:$B248))</f>
        <v/>
      </c>
      <c r="G248" s="14">
        <f>IF($B248="","",IFERROR($B248/MAX($B$4:$B248)-1,0))</f>
        <v/>
      </c>
      <c r="H248" s="26" t="n"/>
    </row>
    <row r="249">
      <c r="A249" s="23" t="n">
        <v>46505</v>
      </c>
      <c r="B249" s="24" t="n"/>
      <c r="C249" s="24" t="n"/>
      <c r="D249" s="12">
        <f>IF($B249="","",SUM($C$4:$C249))</f>
        <v/>
      </c>
      <c r="E249" s="12">
        <f>IF($B249="","",$B249-$D249)</f>
        <v/>
      </c>
      <c r="F249" s="12">
        <f>IF($B249="","",MAX($B$4:$B249))</f>
        <v/>
      </c>
      <c r="G249" s="14">
        <f>IF($B249="","",IFERROR($B249/MAX($B$4:$B249)-1,0))</f>
        <v/>
      </c>
      <c r="H249" s="26" t="n"/>
    </row>
    <row r="250">
      <c r="A250" s="23" t="n">
        <v>46506</v>
      </c>
      <c r="B250" s="24" t="n"/>
      <c r="C250" s="24" t="n"/>
      <c r="D250" s="12">
        <f>IF($B250="","",SUM($C$4:$C250))</f>
        <v/>
      </c>
      <c r="E250" s="12">
        <f>IF($B250="","",$B250-$D250)</f>
        <v/>
      </c>
      <c r="F250" s="12">
        <f>IF($B250="","",MAX($B$4:$B250))</f>
        <v/>
      </c>
      <c r="G250" s="14">
        <f>IF($B250="","",IFERROR($B250/MAX($B$4:$B250)-1,0))</f>
        <v/>
      </c>
      <c r="H250" s="26" t="n"/>
    </row>
    <row r="251">
      <c r="A251" s="23" t="n">
        <v>46507</v>
      </c>
      <c r="B251" s="24" t="n"/>
      <c r="C251" s="24" t="n"/>
      <c r="D251" s="12">
        <f>IF($B251="","",SUM($C$4:$C251))</f>
        <v/>
      </c>
      <c r="E251" s="12">
        <f>IF($B251="","",$B251-$D251)</f>
        <v/>
      </c>
      <c r="F251" s="12">
        <f>IF($B251="","",MAX($B$4:$B251))</f>
        <v/>
      </c>
      <c r="G251" s="14">
        <f>IF($B251="","",IFERROR($B251/MAX($B$4:$B251)-1,0))</f>
        <v/>
      </c>
      <c r="H251" s="26" t="n"/>
    </row>
    <row r="252">
      <c r="A252" s="31" t="n">
        <v>46508</v>
      </c>
      <c r="B252" s="24" t="n"/>
      <c r="C252" s="24" t="n"/>
      <c r="D252" s="12">
        <f>IF($B252="","",SUM($C$4:$C252))</f>
        <v/>
      </c>
      <c r="E252" s="12">
        <f>IF($B252="","",$B252-$D252)</f>
        <v/>
      </c>
      <c r="F252" s="12">
        <f>IF($B252="","",MAX($B$4:$B252))</f>
        <v/>
      </c>
      <c r="G252" s="14">
        <f>IF($B252="","",IFERROR($B252/MAX($B$4:$B252)-1,0))</f>
        <v/>
      </c>
      <c r="H252" s="26" t="n"/>
    </row>
    <row r="253">
      <c r="A253" s="23" t="n">
        <v>46509</v>
      </c>
      <c r="B253" s="24" t="n"/>
      <c r="C253" s="24" t="n"/>
      <c r="D253" s="12">
        <f>IF($B253="","",SUM($C$4:$C253))</f>
        <v/>
      </c>
      <c r="E253" s="12">
        <f>IF($B253="","",$B253-$D253)</f>
        <v/>
      </c>
      <c r="F253" s="12">
        <f>IF($B253="","",MAX($B$4:$B253))</f>
        <v/>
      </c>
      <c r="G253" s="14">
        <f>IF($B253="","",IFERROR($B253/MAX($B$4:$B253)-1,0))</f>
        <v/>
      </c>
      <c r="H253" s="26" t="n"/>
    </row>
    <row r="254">
      <c r="A254" s="23" t="n">
        <v>46510</v>
      </c>
      <c r="B254" s="24" t="n"/>
      <c r="C254" s="24" t="n"/>
      <c r="D254" s="12">
        <f>IF($B254="","",SUM($C$4:$C254))</f>
        <v/>
      </c>
      <c r="E254" s="12">
        <f>IF($B254="","",$B254-$D254)</f>
        <v/>
      </c>
      <c r="F254" s="12">
        <f>IF($B254="","",MAX($B$4:$B254))</f>
        <v/>
      </c>
      <c r="G254" s="14">
        <f>IF($B254="","",IFERROR($B254/MAX($B$4:$B254)-1,0))</f>
        <v/>
      </c>
      <c r="H254" s="26" t="n"/>
    </row>
    <row r="255">
      <c r="A255" s="23" t="n">
        <v>46511</v>
      </c>
      <c r="B255" s="24" t="n"/>
      <c r="C255" s="24" t="n"/>
      <c r="D255" s="12">
        <f>IF($B255="","",SUM($C$4:$C255))</f>
        <v/>
      </c>
      <c r="E255" s="12">
        <f>IF($B255="","",$B255-$D255)</f>
        <v/>
      </c>
      <c r="F255" s="12">
        <f>IF($B255="","",MAX($B$4:$B255))</f>
        <v/>
      </c>
      <c r="G255" s="14">
        <f>IF($B255="","",IFERROR($B255/MAX($B$4:$B255)-1,0))</f>
        <v/>
      </c>
      <c r="H255" s="26" t="n"/>
    </row>
    <row r="256">
      <c r="A256" s="23" t="n">
        <v>46512</v>
      </c>
      <c r="B256" s="24" t="n"/>
      <c r="C256" s="24" t="n"/>
      <c r="D256" s="12">
        <f>IF($B256="","",SUM($C$4:$C256))</f>
        <v/>
      </c>
      <c r="E256" s="12">
        <f>IF($B256="","",$B256-$D256)</f>
        <v/>
      </c>
      <c r="F256" s="12">
        <f>IF($B256="","",MAX($B$4:$B256))</f>
        <v/>
      </c>
      <c r="G256" s="14">
        <f>IF($B256="","",IFERROR($B256/MAX($B$4:$B256)-1,0))</f>
        <v/>
      </c>
      <c r="H256" s="26" t="n"/>
    </row>
    <row r="257">
      <c r="A257" s="23" t="n">
        <v>46513</v>
      </c>
      <c r="B257" s="24" t="n"/>
      <c r="C257" s="24" t="n"/>
      <c r="D257" s="12">
        <f>IF($B257="","",SUM($C$4:$C257))</f>
        <v/>
      </c>
      <c r="E257" s="12">
        <f>IF($B257="","",$B257-$D257)</f>
        <v/>
      </c>
      <c r="F257" s="12">
        <f>IF($B257="","",MAX($B$4:$B257))</f>
        <v/>
      </c>
      <c r="G257" s="14">
        <f>IF($B257="","",IFERROR($B257/MAX($B$4:$B257)-1,0))</f>
        <v/>
      </c>
      <c r="H257" s="26" t="n"/>
    </row>
    <row r="258">
      <c r="A258" s="23" t="n">
        <v>46514</v>
      </c>
      <c r="B258" s="24" t="n"/>
      <c r="C258" s="24" t="n"/>
      <c r="D258" s="12">
        <f>IF($B258="","",SUM($C$4:$C258))</f>
        <v/>
      </c>
      <c r="E258" s="12">
        <f>IF($B258="","",$B258-$D258)</f>
        <v/>
      </c>
      <c r="F258" s="12">
        <f>IF($B258="","",MAX($B$4:$B258))</f>
        <v/>
      </c>
      <c r="G258" s="14">
        <f>IF($B258="","",IFERROR($B258/MAX($B$4:$B258)-1,0))</f>
        <v/>
      </c>
      <c r="H258" s="26" t="n"/>
    </row>
    <row r="259">
      <c r="A259" s="23" t="n">
        <v>46515</v>
      </c>
      <c r="B259" s="24" t="n"/>
      <c r="C259" s="24" t="n"/>
      <c r="D259" s="12">
        <f>IF($B259="","",SUM($C$4:$C259))</f>
        <v/>
      </c>
      <c r="E259" s="12">
        <f>IF($B259="","",$B259-$D259)</f>
        <v/>
      </c>
      <c r="F259" s="12">
        <f>IF($B259="","",MAX($B$4:$B259))</f>
        <v/>
      </c>
      <c r="G259" s="14">
        <f>IF($B259="","",IFERROR($B259/MAX($B$4:$B259)-1,0))</f>
        <v/>
      </c>
      <c r="H259" s="26" t="n"/>
    </row>
    <row r="260">
      <c r="A260" s="23" t="n">
        <v>46516</v>
      </c>
      <c r="B260" s="24" t="n"/>
      <c r="C260" s="24" t="n"/>
      <c r="D260" s="12">
        <f>IF($B260="","",SUM($C$4:$C260))</f>
        <v/>
      </c>
      <c r="E260" s="12">
        <f>IF($B260="","",$B260-$D260)</f>
        <v/>
      </c>
      <c r="F260" s="12">
        <f>IF($B260="","",MAX($B$4:$B260))</f>
        <v/>
      </c>
      <c r="G260" s="14">
        <f>IF($B260="","",IFERROR($B260/MAX($B$4:$B260)-1,0))</f>
        <v/>
      </c>
      <c r="H260" s="26" t="n"/>
    </row>
    <row r="261">
      <c r="A261" s="23" t="n">
        <v>46517</v>
      </c>
      <c r="B261" s="24" t="n"/>
      <c r="C261" s="24" t="n"/>
      <c r="D261" s="12">
        <f>IF($B261="","",SUM($C$4:$C261))</f>
        <v/>
      </c>
      <c r="E261" s="12">
        <f>IF($B261="","",$B261-$D261)</f>
        <v/>
      </c>
      <c r="F261" s="12">
        <f>IF($B261="","",MAX($B$4:$B261))</f>
        <v/>
      </c>
      <c r="G261" s="14">
        <f>IF($B261="","",IFERROR($B261/MAX($B$4:$B261)-1,0))</f>
        <v/>
      </c>
      <c r="H261" s="26" t="n"/>
    </row>
    <row r="262">
      <c r="A262" s="23" t="n">
        <v>46518</v>
      </c>
      <c r="B262" s="24" t="n"/>
      <c r="C262" s="24" t="n"/>
      <c r="D262" s="12">
        <f>IF($B262="","",SUM($C$4:$C262))</f>
        <v/>
      </c>
      <c r="E262" s="12">
        <f>IF($B262="","",$B262-$D262)</f>
        <v/>
      </c>
      <c r="F262" s="12">
        <f>IF($B262="","",MAX($B$4:$B262))</f>
        <v/>
      </c>
      <c r="G262" s="14">
        <f>IF($B262="","",IFERROR($B262/MAX($B$4:$B262)-1,0))</f>
        <v/>
      </c>
      <c r="H262" s="26" t="n"/>
    </row>
    <row r="263">
      <c r="A263" s="23" t="n">
        <v>46519</v>
      </c>
      <c r="B263" s="24" t="n"/>
      <c r="C263" s="24" t="n"/>
      <c r="D263" s="12">
        <f>IF($B263="","",SUM($C$4:$C263))</f>
        <v/>
      </c>
      <c r="E263" s="12">
        <f>IF($B263="","",$B263-$D263)</f>
        <v/>
      </c>
      <c r="F263" s="12">
        <f>IF($B263="","",MAX($B$4:$B263))</f>
        <v/>
      </c>
      <c r="G263" s="14">
        <f>IF($B263="","",IFERROR($B263/MAX($B$4:$B263)-1,0))</f>
        <v/>
      </c>
      <c r="H263" s="26" t="n"/>
    </row>
    <row r="264">
      <c r="A264" s="23" t="n">
        <v>46520</v>
      </c>
      <c r="B264" s="24" t="n"/>
      <c r="C264" s="24" t="n"/>
      <c r="D264" s="12">
        <f>IF($B264="","",SUM($C$4:$C264))</f>
        <v/>
      </c>
      <c r="E264" s="12">
        <f>IF($B264="","",$B264-$D264)</f>
        <v/>
      </c>
      <c r="F264" s="12">
        <f>IF($B264="","",MAX($B$4:$B264))</f>
        <v/>
      </c>
      <c r="G264" s="14">
        <f>IF($B264="","",IFERROR($B264/MAX($B$4:$B264)-1,0))</f>
        <v/>
      </c>
      <c r="H264" s="26" t="n"/>
    </row>
    <row r="265">
      <c r="A265" s="23" t="n">
        <v>46521</v>
      </c>
      <c r="B265" s="24" t="n"/>
      <c r="C265" s="24" t="n"/>
      <c r="D265" s="12">
        <f>IF($B265="","",SUM($C$4:$C265))</f>
        <v/>
      </c>
      <c r="E265" s="12">
        <f>IF($B265="","",$B265-$D265)</f>
        <v/>
      </c>
      <c r="F265" s="12">
        <f>IF($B265="","",MAX($B$4:$B265))</f>
        <v/>
      </c>
      <c r="G265" s="14">
        <f>IF($B265="","",IFERROR($B265/MAX($B$4:$B265)-1,0))</f>
        <v/>
      </c>
      <c r="H265" s="26" t="n"/>
    </row>
    <row r="266">
      <c r="A266" s="23" t="n">
        <v>46522</v>
      </c>
      <c r="B266" s="24" t="n"/>
      <c r="C266" s="24" t="n"/>
      <c r="D266" s="12">
        <f>IF($B266="","",SUM($C$4:$C266))</f>
        <v/>
      </c>
      <c r="E266" s="12">
        <f>IF($B266="","",$B266-$D266)</f>
        <v/>
      </c>
      <c r="F266" s="12">
        <f>IF($B266="","",MAX($B$4:$B266))</f>
        <v/>
      </c>
      <c r="G266" s="14">
        <f>IF($B266="","",IFERROR($B266/MAX($B$4:$B266)-1,0))</f>
        <v/>
      </c>
      <c r="H266" s="26" t="n"/>
    </row>
    <row r="267">
      <c r="A267" s="31" t="n">
        <v>46523</v>
      </c>
      <c r="B267" s="24" t="n"/>
      <c r="C267" s="24" t="n"/>
      <c r="D267" s="12">
        <f>IF($B267="","",SUM($C$4:$C267))</f>
        <v/>
      </c>
      <c r="E267" s="12">
        <f>IF($B267="","",$B267-$D267)</f>
        <v/>
      </c>
      <c r="F267" s="12">
        <f>IF($B267="","",MAX($B$4:$B267))</f>
        <v/>
      </c>
      <c r="G267" s="14">
        <f>IF($B267="","",IFERROR($B267/MAX($B$4:$B267)-1,0))</f>
        <v/>
      </c>
      <c r="H267" s="26" t="n"/>
    </row>
    <row r="268">
      <c r="A268" s="23" t="n">
        <v>46524</v>
      </c>
      <c r="B268" s="24" t="n"/>
      <c r="C268" s="24" t="n"/>
      <c r="D268" s="12">
        <f>IF($B268="","",SUM($C$4:$C268))</f>
        <v/>
      </c>
      <c r="E268" s="12">
        <f>IF($B268="","",$B268-$D268)</f>
        <v/>
      </c>
      <c r="F268" s="12">
        <f>IF($B268="","",MAX($B$4:$B268))</f>
        <v/>
      </c>
      <c r="G268" s="14">
        <f>IF($B268="","",IFERROR($B268/MAX($B$4:$B268)-1,0))</f>
        <v/>
      </c>
      <c r="H268" s="26" t="n"/>
    </row>
    <row r="269">
      <c r="A269" s="23" t="n">
        <v>46525</v>
      </c>
      <c r="B269" s="24" t="n"/>
      <c r="C269" s="24" t="n"/>
      <c r="D269" s="12">
        <f>IF($B269="","",SUM($C$4:$C269))</f>
        <v/>
      </c>
      <c r="E269" s="12">
        <f>IF($B269="","",$B269-$D269)</f>
        <v/>
      </c>
      <c r="F269" s="12">
        <f>IF($B269="","",MAX($B$4:$B269))</f>
        <v/>
      </c>
      <c r="G269" s="14">
        <f>IF($B269="","",IFERROR($B269/MAX($B$4:$B269)-1,0))</f>
        <v/>
      </c>
      <c r="H269" s="26" t="n"/>
    </row>
    <row r="270">
      <c r="A270" s="23" t="n">
        <v>46526</v>
      </c>
      <c r="B270" s="24" t="n"/>
      <c r="C270" s="24" t="n"/>
      <c r="D270" s="12">
        <f>IF($B270="","",SUM($C$4:$C270))</f>
        <v/>
      </c>
      <c r="E270" s="12">
        <f>IF($B270="","",$B270-$D270)</f>
        <v/>
      </c>
      <c r="F270" s="12">
        <f>IF($B270="","",MAX($B$4:$B270))</f>
        <v/>
      </c>
      <c r="G270" s="14">
        <f>IF($B270="","",IFERROR($B270/MAX($B$4:$B270)-1,0))</f>
        <v/>
      </c>
      <c r="H270" s="26" t="n"/>
    </row>
    <row r="271">
      <c r="A271" s="23" t="n">
        <v>46527</v>
      </c>
      <c r="B271" s="24" t="n"/>
      <c r="C271" s="24" t="n"/>
      <c r="D271" s="12">
        <f>IF($B271="","",SUM($C$4:$C271))</f>
        <v/>
      </c>
      <c r="E271" s="12">
        <f>IF($B271="","",$B271-$D271)</f>
        <v/>
      </c>
      <c r="F271" s="12">
        <f>IF($B271="","",MAX($B$4:$B271))</f>
        <v/>
      </c>
      <c r="G271" s="14">
        <f>IF($B271="","",IFERROR($B271/MAX($B$4:$B271)-1,0))</f>
        <v/>
      </c>
      <c r="H271" s="26" t="n"/>
    </row>
    <row r="272">
      <c r="A272" s="23" t="n">
        <v>46528</v>
      </c>
      <c r="B272" s="24" t="n"/>
      <c r="C272" s="24" t="n"/>
      <c r="D272" s="12">
        <f>IF($B272="","",SUM($C$4:$C272))</f>
        <v/>
      </c>
      <c r="E272" s="12">
        <f>IF($B272="","",$B272-$D272)</f>
        <v/>
      </c>
      <c r="F272" s="12">
        <f>IF($B272="","",MAX($B$4:$B272))</f>
        <v/>
      </c>
      <c r="G272" s="14">
        <f>IF($B272="","",IFERROR($B272/MAX($B$4:$B272)-1,0))</f>
        <v/>
      </c>
      <c r="H272" s="26" t="n"/>
    </row>
    <row r="273">
      <c r="A273" s="23" t="n">
        <v>46529</v>
      </c>
      <c r="B273" s="24" t="n"/>
      <c r="C273" s="24" t="n"/>
      <c r="D273" s="12">
        <f>IF($B273="","",SUM($C$4:$C273))</f>
        <v/>
      </c>
      <c r="E273" s="12">
        <f>IF($B273="","",$B273-$D273)</f>
        <v/>
      </c>
      <c r="F273" s="12">
        <f>IF($B273="","",MAX($B$4:$B273))</f>
        <v/>
      </c>
      <c r="G273" s="14">
        <f>IF($B273="","",IFERROR($B273/MAX($B$4:$B273)-1,0))</f>
        <v/>
      </c>
      <c r="H273" s="26" t="n"/>
    </row>
    <row r="274">
      <c r="A274" s="23" t="n">
        <v>46530</v>
      </c>
      <c r="B274" s="24" t="n"/>
      <c r="C274" s="24" t="n"/>
      <c r="D274" s="12">
        <f>IF($B274="","",SUM($C$4:$C274))</f>
        <v/>
      </c>
      <c r="E274" s="12">
        <f>IF($B274="","",$B274-$D274)</f>
        <v/>
      </c>
      <c r="F274" s="12">
        <f>IF($B274="","",MAX($B$4:$B274))</f>
        <v/>
      </c>
      <c r="G274" s="14">
        <f>IF($B274="","",IFERROR($B274/MAX($B$4:$B274)-1,0))</f>
        <v/>
      </c>
      <c r="H274" s="26" t="n"/>
    </row>
    <row r="275">
      <c r="A275" s="23" t="n">
        <v>46531</v>
      </c>
      <c r="B275" s="24" t="n"/>
      <c r="C275" s="24" t="n"/>
      <c r="D275" s="12">
        <f>IF($B275="","",SUM($C$4:$C275))</f>
        <v/>
      </c>
      <c r="E275" s="12">
        <f>IF($B275="","",$B275-$D275)</f>
        <v/>
      </c>
      <c r="F275" s="12">
        <f>IF($B275="","",MAX($B$4:$B275))</f>
        <v/>
      </c>
      <c r="G275" s="14">
        <f>IF($B275="","",IFERROR($B275/MAX($B$4:$B275)-1,0))</f>
        <v/>
      </c>
      <c r="H275" s="26" t="n"/>
    </row>
    <row r="276">
      <c r="A276" s="23" t="n">
        <v>46532</v>
      </c>
      <c r="B276" s="24" t="n"/>
      <c r="C276" s="24" t="n"/>
      <c r="D276" s="12">
        <f>IF($B276="","",SUM($C$4:$C276))</f>
        <v/>
      </c>
      <c r="E276" s="12">
        <f>IF($B276="","",$B276-$D276)</f>
        <v/>
      </c>
      <c r="F276" s="12">
        <f>IF($B276="","",MAX($B$4:$B276))</f>
        <v/>
      </c>
      <c r="G276" s="14">
        <f>IF($B276="","",IFERROR($B276/MAX($B$4:$B276)-1,0))</f>
        <v/>
      </c>
      <c r="H276" s="26" t="n"/>
    </row>
    <row r="277">
      <c r="A277" s="23" t="n">
        <v>46533</v>
      </c>
      <c r="B277" s="24" t="n"/>
      <c r="C277" s="24" t="n"/>
      <c r="D277" s="12">
        <f>IF($B277="","",SUM($C$4:$C277))</f>
        <v/>
      </c>
      <c r="E277" s="12">
        <f>IF($B277="","",$B277-$D277)</f>
        <v/>
      </c>
      <c r="F277" s="12">
        <f>IF($B277="","",MAX($B$4:$B277))</f>
        <v/>
      </c>
      <c r="G277" s="14">
        <f>IF($B277="","",IFERROR($B277/MAX($B$4:$B277)-1,0))</f>
        <v/>
      </c>
      <c r="H277" s="26" t="n"/>
    </row>
    <row r="278">
      <c r="A278" s="23" t="n">
        <v>46534</v>
      </c>
      <c r="B278" s="24" t="n"/>
      <c r="C278" s="24" t="n"/>
      <c r="D278" s="12">
        <f>IF($B278="","",SUM($C$4:$C278))</f>
        <v/>
      </c>
      <c r="E278" s="12">
        <f>IF($B278="","",$B278-$D278)</f>
        <v/>
      </c>
      <c r="F278" s="12">
        <f>IF($B278="","",MAX($B$4:$B278))</f>
        <v/>
      </c>
      <c r="G278" s="14">
        <f>IF($B278="","",IFERROR($B278/MAX($B$4:$B278)-1,0))</f>
        <v/>
      </c>
      <c r="H278" s="26" t="n"/>
    </row>
    <row r="279">
      <c r="A279" s="23" t="n">
        <v>46535</v>
      </c>
      <c r="B279" s="24" t="n"/>
      <c r="C279" s="24" t="n"/>
      <c r="D279" s="12">
        <f>IF($B279="","",SUM($C$4:$C279))</f>
        <v/>
      </c>
      <c r="E279" s="12">
        <f>IF($B279="","",$B279-$D279)</f>
        <v/>
      </c>
      <c r="F279" s="12">
        <f>IF($B279="","",MAX($B$4:$B279))</f>
        <v/>
      </c>
      <c r="G279" s="14">
        <f>IF($B279="","",IFERROR($B279/MAX($B$4:$B279)-1,0))</f>
        <v/>
      </c>
      <c r="H279" s="26" t="n"/>
    </row>
    <row r="280">
      <c r="A280" s="23" t="n">
        <v>46536</v>
      </c>
      <c r="B280" s="24" t="n"/>
      <c r="C280" s="24" t="n"/>
      <c r="D280" s="12">
        <f>IF($B280="","",SUM($C$4:$C280))</f>
        <v/>
      </c>
      <c r="E280" s="12">
        <f>IF($B280="","",$B280-$D280)</f>
        <v/>
      </c>
      <c r="F280" s="12">
        <f>IF($B280="","",MAX($B$4:$B280))</f>
        <v/>
      </c>
      <c r="G280" s="14">
        <f>IF($B280="","",IFERROR($B280/MAX($B$4:$B280)-1,0))</f>
        <v/>
      </c>
      <c r="H280" s="26" t="n"/>
    </row>
    <row r="281">
      <c r="A281" s="23" t="n">
        <v>46537</v>
      </c>
      <c r="B281" s="24" t="n"/>
      <c r="C281" s="24" t="n"/>
      <c r="D281" s="12">
        <f>IF($B281="","",SUM($C$4:$C281))</f>
        <v/>
      </c>
      <c r="E281" s="12">
        <f>IF($B281="","",$B281-$D281)</f>
        <v/>
      </c>
      <c r="F281" s="12">
        <f>IF($B281="","",MAX($B$4:$B281))</f>
        <v/>
      </c>
      <c r="G281" s="14">
        <f>IF($B281="","",IFERROR($B281/MAX($B$4:$B281)-1,0))</f>
        <v/>
      </c>
      <c r="H281" s="26" t="n"/>
    </row>
    <row r="282">
      <c r="A282" s="23" t="n">
        <v>46538</v>
      </c>
      <c r="B282" s="24" t="n"/>
      <c r="C282" s="24" t="n"/>
      <c r="D282" s="12">
        <f>IF($B282="","",SUM($C$4:$C282))</f>
        <v/>
      </c>
      <c r="E282" s="12">
        <f>IF($B282="","",$B282-$D282)</f>
        <v/>
      </c>
      <c r="F282" s="12">
        <f>IF($B282="","",MAX($B$4:$B282))</f>
        <v/>
      </c>
      <c r="G282" s="14">
        <f>IF($B282="","",IFERROR($B282/MAX($B$4:$B282)-1,0))</f>
        <v/>
      </c>
      <c r="H282" s="26" t="n"/>
    </row>
    <row r="283">
      <c r="A283" s="31" t="n">
        <v>46539</v>
      </c>
      <c r="B283" s="24" t="n"/>
      <c r="C283" s="24" t="n"/>
      <c r="D283" s="12">
        <f>IF($B283="","",SUM($C$4:$C283))</f>
        <v/>
      </c>
      <c r="E283" s="12">
        <f>IF($B283="","",$B283-$D283)</f>
        <v/>
      </c>
      <c r="F283" s="12">
        <f>IF($B283="","",MAX($B$4:$B283))</f>
        <v/>
      </c>
      <c r="G283" s="14">
        <f>IF($B283="","",IFERROR($B283/MAX($B$4:$B283)-1,0))</f>
        <v/>
      </c>
      <c r="H283" s="26" t="n"/>
    </row>
    <row r="284">
      <c r="A284" s="23" t="n">
        <v>46540</v>
      </c>
      <c r="B284" s="24" t="n"/>
      <c r="C284" s="24" t="n"/>
      <c r="D284" s="12">
        <f>IF($B284="","",SUM($C$4:$C284))</f>
        <v/>
      </c>
      <c r="E284" s="12">
        <f>IF($B284="","",$B284-$D284)</f>
        <v/>
      </c>
      <c r="F284" s="12">
        <f>IF($B284="","",MAX($B$4:$B284))</f>
        <v/>
      </c>
      <c r="G284" s="14">
        <f>IF($B284="","",IFERROR($B284/MAX($B$4:$B284)-1,0))</f>
        <v/>
      </c>
      <c r="H284" s="26" t="n"/>
    </row>
    <row r="285">
      <c r="A285" s="23" t="n">
        <v>46541</v>
      </c>
      <c r="B285" s="24" t="n"/>
      <c r="C285" s="24" t="n"/>
      <c r="D285" s="12">
        <f>IF($B285="","",SUM($C$4:$C285))</f>
        <v/>
      </c>
      <c r="E285" s="12">
        <f>IF($B285="","",$B285-$D285)</f>
        <v/>
      </c>
      <c r="F285" s="12">
        <f>IF($B285="","",MAX($B$4:$B285))</f>
        <v/>
      </c>
      <c r="G285" s="14">
        <f>IF($B285="","",IFERROR($B285/MAX($B$4:$B285)-1,0))</f>
        <v/>
      </c>
      <c r="H285" s="26" t="n"/>
    </row>
    <row r="286">
      <c r="A286" s="23" t="n">
        <v>46542</v>
      </c>
      <c r="B286" s="24" t="n"/>
      <c r="C286" s="24" t="n"/>
      <c r="D286" s="12">
        <f>IF($B286="","",SUM($C$4:$C286))</f>
        <v/>
      </c>
      <c r="E286" s="12">
        <f>IF($B286="","",$B286-$D286)</f>
        <v/>
      </c>
      <c r="F286" s="12">
        <f>IF($B286="","",MAX($B$4:$B286))</f>
        <v/>
      </c>
      <c r="G286" s="14">
        <f>IF($B286="","",IFERROR($B286/MAX($B$4:$B286)-1,0))</f>
        <v/>
      </c>
      <c r="H286" s="26" t="n"/>
    </row>
    <row r="287">
      <c r="A287" s="23" t="n">
        <v>46543</v>
      </c>
      <c r="B287" s="24" t="n"/>
      <c r="C287" s="24" t="n"/>
      <c r="D287" s="12">
        <f>IF($B287="","",SUM($C$4:$C287))</f>
        <v/>
      </c>
      <c r="E287" s="12">
        <f>IF($B287="","",$B287-$D287)</f>
        <v/>
      </c>
      <c r="F287" s="12">
        <f>IF($B287="","",MAX($B$4:$B287))</f>
        <v/>
      </c>
      <c r="G287" s="14">
        <f>IF($B287="","",IFERROR($B287/MAX($B$4:$B287)-1,0))</f>
        <v/>
      </c>
      <c r="H287" s="26" t="n"/>
    </row>
    <row r="288">
      <c r="A288" s="23" t="n">
        <v>46544</v>
      </c>
      <c r="B288" s="24" t="n"/>
      <c r="C288" s="24" t="n"/>
      <c r="D288" s="12">
        <f>IF($B288="","",SUM($C$4:$C288))</f>
        <v/>
      </c>
      <c r="E288" s="12">
        <f>IF($B288="","",$B288-$D288)</f>
        <v/>
      </c>
      <c r="F288" s="12">
        <f>IF($B288="","",MAX($B$4:$B288))</f>
        <v/>
      </c>
      <c r="G288" s="14">
        <f>IF($B288="","",IFERROR($B288/MAX($B$4:$B288)-1,0))</f>
        <v/>
      </c>
      <c r="H288" s="26" t="n"/>
    </row>
    <row r="289">
      <c r="A289" s="23" t="n">
        <v>46545</v>
      </c>
      <c r="B289" s="24" t="n"/>
      <c r="C289" s="24" t="n"/>
      <c r="D289" s="12">
        <f>IF($B289="","",SUM($C$4:$C289))</f>
        <v/>
      </c>
      <c r="E289" s="12">
        <f>IF($B289="","",$B289-$D289)</f>
        <v/>
      </c>
      <c r="F289" s="12">
        <f>IF($B289="","",MAX($B$4:$B289))</f>
        <v/>
      </c>
      <c r="G289" s="14">
        <f>IF($B289="","",IFERROR($B289/MAX($B$4:$B289)-1,0))</f>
        <v/>
      </c>
      <c r="H289" s="26" t="n"/>
    </row>
    <row r="290">
      <c r="A290" s="23" t="n">
        <v>46546</v>
      </c>
      <c r="B290" s="24" t="n"/>
      <c r="C290" s="24" t="n"/>
      <c r="D290" s="12">
        <f>IF($B290="","",SUM($C$4:$C290))</f>
        <v/>
      </c>
      <c r="E290" s="12">
        <f>IF($B290="","",$B290-$D290)</f>
        <v/>
      </c>
      <c r="F290" s="12">
        <f>IF($B290="","",MAX($B$4:$B290))</f>
        <v/>
      </c>
      <c r="G290" s="14">
        <f>IF($B290="","",IFERROR($B290/MAX($B$4:$B290)-1,0))</f>
        <v/>
      </c>
      <c r="H290" s="26" t="n"/>
    </row>
    <row r="291">
      <c r="A291" s="23" t="n">
        <v>46547</v>
      </c>
      <c r="B291" s="24" t="n"/>
      <c r="C291" s="24" t="n"/>
      <c r="D291" s="12">
        <f>IF($B291="","",SUM($C$4:$C291))</f>
        <v/>
      </c>
      <c r="E291" s="12">
        <f>IF($B291="","",$B291-$D291)</f>
        <v/>
      </c>
      <c r="F291" s="12">
        <f>IF($B291="","",MAX($B$4:$B291))</f>
        <v/>
      </c>
      <c r="G291" s="14">
        <f>IF($B291="","",IFERROR($B291/MAX($B$4:$B291)-1,0))</f>
        <v/>
      </c>
      <c r="H291" s="26" t="n"/>
    </row>
    <row r="292">
      <c r="A292" s="23" t="n">
        <v>46548</v>
      </c>
      <c r="B292" s="24" t="n"/>
      <c r="C292" s="24" t="n"/>
      <c r="D292" s="12">
        <f>IF($B292="","",SUM($C$4:$C292))</f>
        <v/>
      </c>
      <c r="E292" s="12">
        <f>IF($B292="","",$B292-$D292)</f>
        <v/>
      </c>
      <c r="F292" s="12">
        <f>IF($B292="","",MAX($B$4:$B292))</f>
        <v/>
      </c>
      <c r="G292" s="14">
        <f>IF($B292="","",IFERROR($B292/MAX($B$4:$B292)-1,0))</f>
        <v/>
      </c>
      <c r="H292" s="26" t="n"/>
    </row>
    <row r="293">
      <c r="A293" s="23" t="n">
        <v>46549</v>
      </c>
      <c r="B293" s="24" t="n"/>
      <c r="C293" s="24" t="n"/>
      <c r="D293" s="12">
        <f>IF($B293="","",SUM($C$4:$C293))</f>
        <v/>
      </c>
      <c r="E293" s="12">
        <f>IF($B293="","",$B293-$D293)</f>
        <v/>
      </c>
      <c r="F293" s="12">
        <f>IF($B293="","",MAX($B$4:$B293))</f>
        <v/>
      </c>
      <c r="G293" s="14">
        <f>IF($B293="","",IFERROR($B293/MAX($B$4:$B293)-1,0))</f>
        <v/>
      </c>
      <c r="H293" s="26" t="n"/>
    </row>
    <row r="294">
      <c r="A294" s="23" t="n">
        <v>46550</v>
      </c>
      <c r="B294" s="24" t="n"/>
      <c r="C294" s="24" t="n"/>
      <c r="D294" s="12">
        <f>IF($B294="","",SUM($C$4:$C294))</f>
        <v/>
      </c>
      <c r="E294" s="12">
        <f>IF($B294="","",$B294-$D294)</f>
        <v/>
      </c>
      <c r="F294" s="12">
        <f>IF($B294="","",MAX($B$4:$B294))</f>
        <v/>
      </c>
      <c r="G294" s="14">
        <f>IF($B294="","",IFERROR($B294/MAX($B$4:$B294)-1,0))</f>
        <v/>
      </c>
      <c r="H294" s="26" t="n"/>
    </row>
    <row r="295">
      <c r="A295" s="23" t="n">
        <v>46551</v>
      </c>
      <c r="B295" s="24" t="n"/>
      <c r="C295" s="24" t="n"/>
      <c r="D295" s="12">
        <f>IF($B295="","",SUM($C$4:$C295))</f>
        <v/>
      </c>
      <c r="E295" s="12">
        <f>IF($B295="","",$B295-$D295)</f>
        <v/>
      </c>
      <c r="F295" s="12">
        <f>IF($B295="","",MAX($B$4:$B295))</f>
        <v/>
      </c>
      <c r="G295" s="14">
        <f>IF($B295="","",IFERROR($B295/MAX($B$4:$B295)-1,0))</f>
        <v/>
      </c>
      <c r="H295" s="26" t="n"/>
    </row>
    <row r="296">
      <c r="A296" s="23" t="n">
        <v>46552</v>
      </c>
      <c r="B296" s="24" t="n"/>
      <c r="C296" s="24" t="n"/>
      <c r="D296" s="12">
        <f>IF($B296="","",SUM($C$4:$C296))</f>
        <v/>
      </c>
      <c r="E296" s="12">
        <f>IF($B296="","",$B296-$D296)</f>
        <v/>
      </c>
      <c r="F296" s="12">
        <f>IF($B296="","",MAX($B$4:$B296))</f>
        <v/>
      </c>
      <c r="G296" s="14">
        <f>IF($B296="","",IFERROR($B296/MAX($B$4:$B296)-1,0))</f>
        <v/>
      </c>
      <c r="H296" s="26" t="n"/>
    </row>
    <row r="297">
      <c r="A297" s="23" t="n">
        <v>46553</v>
      </c>
      <c r="B297" s="24" t="n"/>
      <c r="C297" s="24" t="n"/>
      <c r="D297" s="12">
        <f>IF($B297="","",SUM($C$4:$C297))</f>
        <v/>
      </c>
      <c r="E297" s="12">
        <f>IF($B297="","",$B297-$D297)</f>
        <v/>
      </c>
      <c r="F297" s="12">
        <f>IF($B297="","",MAX($B$4:$B297))</f>
        <v/>
      </c>
      <c r="G297" s="14">
        <f>IF($B297="","",IFERROR($B297/MAX($B$4:$B297)-1,0))</f>
        <v/>
      </c>
      <c r="H297" s="26" t="n"/>
    </row>
    <row r="298">
      <c r="A298" s="31" t="n">
        <v>46554</v>
      </c>
      <c r="B298" s="24" t="n"/>
      <c r="C298" s="24" t="n"/>
      <c r="D298" s="12">
        <f>IF($B298="","",SUM($C$4:$C298))</f>
        <v/>
      </c>
      <c r="E298" s="12">
        <f>IF($B298="","",$B298-$D298)</f>
        <v/>
      </c>
      <c r="F298" s="12">
        <f>IF($B298="","",MAX($B$4:$B298))</f>
        <v/>
      </c>
      <c r="G298" s="14">
        <f>IF($B298="","",IFERROR($B298/MAX($B$4:$B298)-1,0))</f>
        <v/>
      </c>
      <c r="H298" s="26" t="n"/>
    </row>
    <row r="299">
      <c r="A299" s="23" t="n">
        <v>46555</v>
      </c>
      <c r="B299" s="24" t="n"/>
      <c r="C299" s="24" t="n"/>
      <c r="D299" s="12">
        <f>IF($B299="","",SUM($C$4:$C299))</f>
        <v/>
      </c>
      <c r="E299" s="12">
        <f>IF($B299="","",$B299-$D299)</f>
        <v/>
      </c>
      <c r="F299" s="12">
        <f>IF($B299="","",MAX($B$4:$B299))</f>
        <v/>
      </c>
      <c r="G299" s="14">
        <f>IF($B299="","",IFERROR($B299/MAX($B$4:$B299)-1,0))</f>
        <v/>
      </c>
      <c r="H299" s="26" t="n"/>
    </row>
    <row r="300">
      <c r="A300" s="23" t="n">
        <v>46556</v>
      </c>
      <c r="B300" s="24" t="n"/>
      <c r="C300" s="24" t="n"/>
      <c r="D300" s="12">
        <f>IF($B300="","",SUM($C$4:$C300))</f>
        <v/>
      </c>
      <c r="E300" s="12">
        <f>IF($B300="","",$B300-$D300)</f>
        <v/>
      </c>
      <c r="F300" s="12">
        <f>IF($B300="","",MAX($B$4:$B300))</f>
        <v/>
      </c>
      <c r="G300" s="14">
        <f>IF($B300="","",IFERROR($B300/MAX($B$4:$B300)-1,0))</f>
        <v/>
      </c>
      <c r="H300" s="26" t="n"/>
    </row>
    <row r="301">
      <c r="A301" s="23" t="n">
        <v>46557</v>
      </c>
      <c r="B301" s="24" t="n"/>
      <c r="C301" s="24" t="n"/>
      <c r="D301" s="12">
        <f>IF($B301="","",SUM($C$4:$C301))</f>
        <v/>
      </c>
      <c r="E301" s="12">
        <f>IF($B301="","",$B301-$D301)</f>
        <v/>
      </c>
      <c r="F301" s="12">
        <f>IF($B301="","",MAX($B$4:$B301))</f>
        <v/>
      </c>
      <c r="G301" s="14">
        <f>IF($B301="","",IFERROR($B301/MAX($B$4:$B301)-1,0))</f>
        <v/>
      </c>
      <c r="H301" s="26" t="n"/>
    </row>
    <row r="302">
      <c r="A302" s="23" t="n">
        <v>46558</v>
      </c>
      <c r="B302" s="24" t="n"/>
      <c r="C302" s="24" t="n"/>
      <c r="D302" s="12">
        <f>IF($B302="","",SUM($C$4:$C302))</f>
        <v/>
      </c>
      <c r="E302" s="12">
        <f>IF($B302="","",$B302-$D302)</f>
        <v/>
      </c>
      <c r="F302" s="12">
        <f>IF($B302="","",MAX($B$4:$B302))</f>
        <v/>
      </c>
      <c r="G302" s="14">
        <f>IF($B302="","",IFERROR($B302/MAX($B$4:$B302)-1,0))</f>
        <v/>
      </c>
      <c r="H302" s="26" t="n"/>
    </row>
    <row r="303">
      <c r="A303" s="23" t="n">
        <v>46559</v>
      </c>
      <c r="B303" s="24" t="n"/>
      <c r="C303" s="24" t="n"/>
      <c r="D303" s="12">
        <f>IF($B303="","",SUM($C$4:$C303))</f>
        <v/>
      </c>
      <c r="E303" s="12">
        <f>IF($B303="","",$B303-$D303)</f>
        <v/>
      </c>
      <c r="F303" s="12">
        <f>IF($B303="","",MAX($B$4:$B303))</f>
        <v/>
      </c>
      <c r="G303" s="14">
        <f>IF($B303="","",IFERROR($B303/MAX($B$4:$B303)-1,0))</f>
        <v/>
      </c>
      <c r="H303" s="26" t="n"/>
    </row>
    <row r="304">
      <c r="A304" s="23" t="n">
        <v>46560</v>
      </c>
      <c r="B304" s="24" t="n"/>
      <c r="C304" s="24" t="n"/>
      <c r="D304" s="12">
        <f>IF($B304="","",SUM($C$4:$C304))</f>
        <v/>
      </c>
      <c r="E304" s="12">
        <f>IF($B304="","",$B304-$D304)</f>
        <v/>
      </c>
      <c r="F304" s="12">
        <f>IF($B304="","",MAX($B$4:$B304))</f>
        <v/>
      </c>
      <c r="G304" s="14">
        <f>IF($B304="","",IFERROR($B304/MAX($B$4:$B304)-1,0))</f>
        <v/>
      </c>
      <c r="H304" s="26" t="n"/>
    </row>
    <row r="305">
      <c r="A305" s="23" t="n">
        <v>46561</v>
      </c>
      <c r="B305" s="24" t="n"/>
      <c r="C305" s="24" t="n"/>
      <c r="D305" s="12">
        <f>IF($B305="","",SUM($C$4:$C305))</f>
        <v/>
      </c>
      <c r="E305" s="12">
        <f>IF($B305="","",$B305-$D305)</f>
        <v/>
      </c>
      <c r="F305" s="12">
        <f>IF($B305="","",MAX($B$4:$B305))</f>
        <v/>
      </c>
      <c r="G305" s="14">
        <f>IF($B305="","",IFERROR($B305/MAX($B$4:$B305)-1,0))</f>
        <v/>
      </c>
      <c r="H305" s="26" t="n"/>
    </row>
    <row r="306">
      <c r="A306" s="23" t="n">
        <v>46562</v>
      </c>
      <c r="B306" s="24" t="n"/>
      <c r="C306" s="24" t="n"/>
      <c r="D306" s="12">
        <f>IF($B306="","",SUM($C$4:$C306))</f>
        <v/>
      </c>
      <c r="E306" s="12">
        <f>IF($B306="","",$B306-$D306)</f>
        <v/>
      </c>
      <c r="F306" s="12">
        <f>IF($B306="","",MAX($B$4:$B306))</f>
        <v/>
      </c>
      <c r="G306" s="14">
        <f>IF($B306="","",IFERROR($B306/MAX($B$4:$B306)-1,0))</f>
        <v/>
      </c>
      <c r="H306" s="26" t="n"/>
    </row>
    <row r="307">
      <c r="A307" s="23" t="n">
        <v>46563</v>
      </c>
      <c r="B307" s="24" t="n"/>
      <c r="C307" s="24" t="n"/>
      <c r="D307" s="12">
        <f>IF($B307="","",SUM($C$4:$C307))</f>
        <v/>
      </c>
      <c r="E307" s="12">
        <f>IF($B307="","",$B307-$D307)</f>
        <v/>
      </c>
      <c r="F307" s="12">
        <f>IF($B307="","",MAX($B$4:$B307))</f>
        <v/>
      </c>
      <c r="G307" s="14">
        <f>IF($B307="","",IFERROR($B307/MAX($B$4:$B307)-1,0))</f>
        <v/>
      </c>
      <c r="H307" s="26" t="n"/>
    </row>
    <row r="308">
      <c r="A308" s="23" t="n">
        <v>46564</v>
      </c>
      <c r="B308" s="24" t="n"/>
      <c r="C308" s="24" t="n"/>
      <c r="D308" s="12">
        <f>IF($B308="","",SUM($C$4:$C308))</f>
        <v/>
      </c>
      <c r="E308" s="12">
        <f>IF($B308="","",$B308-$D308)</f>
        <v/>
      </c>
      <c r="F308" s="12">
        <f>IF($B308="","",MAX($B$4:$B308))</f>
        <v/>
      </c>
      <c r="G308" s="14">
        <f>IF($B308="","",IFERROR($B308/MAX($B$4:$B308)-1,0))</f>
        <v/>
      </c>
      <c r="H308" s="26" t="n"/>
    </row>
    <row r="309">
      <c r="A309" s="23" t="n">
        <v>46565</v>
      </c>
      <c r="B309" s="24" t="n"/>
      <c r="C309" s="24" t="n"/>
      <c r="D309" s="12">
        <f>IF($B309="","",SUM($C$4:$C309))</f>
        <v/>
      </c>
      <c r="E309" s="12">
        <f>IF($B309="","",$B309-$D309)</f>
        <v/>
      </c>
      <c r="F309" s="12">
        <f>IF($B309="","",MAX($B$4:$B309))</f>
        <v/>
      </c>
      <c r="G309" s="14">
        <f>IF($B309="","",IFERROR($B309/MAX($B$4:$B309)-1,0))</f>
        <v/>
      </c>
      <c r="H309" s="26" t="n"/>
    </row>
    <row r="310">
      <c r="A310" s="23" t="n">
        <v>46566</v>
      </c>
      <c r="B310" s="24" t="n"/>
      <c r="C310" s="24" t="n"/>
      <c r="D310" s="12">
        <f>IF($B310="","",SUM($C$4:$C310))</f>
        <v/>
      </c>
      <c r="E310" s="12">
        <f>IF($B310="","",$B310-$D310)</f>
        <v/>
      </c>
      <c r="F310" s="12">
        <f>IF($B310="","",MAX($B$4:$B310))</f>
        <v/>
      </c>
      <c r="G310" s="14">
        <f>IF($B310="","",IFERROR($B310/MAX($B$4:$B310)-1,0))</f>
        <v/>
      </c>
      <c r="H310" s="26" t="n"/>
    </row>
    <row r="311">
      <c r="A311" s="23" t="n">
        <v>46567</v>
      </c>
      <c r="B311" s="24" t="n"/>
      <c r="C311" s="24" t="n"/>
      <c r="D311" s="12">
        <f>IF($B311="","",SUM($C$4:$C311))</f>
        <v/>
      </c>
      <c r="E311" s="12">
        <f>IF($B311="","",$B311-$D311)</f>
        <v/>
      </c>
      <c r="F311" s="12">
        <f>IF($B311="","",MAX($B$4:$B311))</f>
        <v/>
      </c>
      <c r="G311" s="14">
        <f>IF($B311="","",IFERROR($B311/MAX($B$4:$B311)-1,0))</f>
        <v/>
      </c>
      <c r="H311" s="26" t="n"/>
    </row>
    <row r="312">
      <c r="A312" s="23" t="n">
        <v>46568</v>
      </c>
      <c r="B312" s="24" t="n"/>
      <c r="C312" s="24" t="n"/>
      <c r="D312" s="12">
        <f>IF($B312="","",SUM($C$4:$C312))</f>
        <v/>
      </c>
      <c r="E312" s="12">
        <f>IF($B312="","",$B312-$D312)</f>
        <v/>
      </c>
      <c r="F312" s="12">
        <f>IF($B312="","",MAX($B$4:$B312))</f>
        <v/>
      </c>
      <c r="G312" s="14">
        <f>IF($B312="","",IFERROR($B312/MAX($B$4:$B312)-1,0))</f>
        <v/>
      </c>
      <c r="H312" s="26" t="n"/>
    </row>
    <row r="313">
      <c r="A313" s="31" t="n">
        <v>46569</v>
      </c>
      <c r="B313" s="24" t="n"/>
      <c r="C313" s="24" t="n"/>
      <c r="D313" s="12">
        <f>IF($B313="","",SUM($C$4:$C313))</f>
        <v/>
      </c>
      <c r="E313" s="12">
        <f>IF($B313="","",$B313-$D313)</f>
        <v/>
      </c>
      <c r="F313" s="12">
        <f>IF($B313="","",MAX($B$4:$B313))</f>
        <v/>
      </c>
      <c r="G313" s="14">
        <f>IF($B313="","",IFERROR($B313/MAX($B$4:$B313)-1,0))</f>
        <v/>
      </c>
      <c r="H313" s="26" t="n"/>
    </row>
    <row r="314">
      <c r="A314" s="23" t="n">
        <v>46570</v>
      </c>
      <c r="B314" s="24" t="n"/>
      <c r="C314" s="24" t="n"/>
      <c r="D314" s="12">
        <f>IF($B314="","",SUM($C$4:$C314))</f>
        <v/>
      </c>
      <c r="E314" s="12">
        <f>IF($B314="","",$B314-$D314)</f>
        <v/>
      </c>
      <c r="F314" s="12">
        <f>IF($B314="","",MAX($B$4:$B314))</f>
        <v/>
      </c>
      <c r="G314" s="14">
        <f>IF($B314="","",IFERROR($B314/MAX($B$4:$B314)-1,0))</f>
        <v/>
      </c>
      <c r="H314" s="26" t="n"/>
    </row>
    <row r="315">
      <c r="A315" s="23" t="n">
        <v>46571</v>
      </c>
      <c r="B315" s="24" t="n"/>
      <c r="C315" s="24" t="n"/>
      <c r="D315" s="12">
        <f>IF($B315="","",SUM($C$4:$C315))</f>
        <v/>
      </c>
      <c r="E315" s="12">
        <f>IF($B315="","",$B315-$D315)</f>
        <v/>
      </c>
      <c r="F315" s="12">
        <f>IF($B315="","",MAX($B$4:$B315))</f>
        <v/>
      </c>
      <c r="G315" s="14">
        <f>IF($B315="","",IFERROR($B315/MAX($B$4:$B315)-1,0))</f>
        <v/>
      </c>
      <c r="H315" s="26" t="n"/>
    </row>
    <row r="316">
      <c r="A316" s="23" t="n">
        <v>46572</v>
      </c>
      <c r="B316" s="24" t="n"/>
      <c r="C316" s="24" t="n"/>
      <c r="D316" s="12">
        <f>IF($B316="","",SUM($C$4:$C316))</f>
        <v/>
      </c>
      <c r="E316" s="12">
        <f>IF($B316="","",$B316-$D316)</f>
        <v/>
      </c>
      <c r="F316" s="12">
        <f>IF($B316="","",MAX($B$4:$B316))</f>
        <v/>
      </c>
      <c r="G316" s="14">
        <f>IF($B316="","",IFERROR($B316/MAX($B$4:$B316)-1,0))</f>
        <v/>
      </c>
      <c r="H316" s="26" t="n"/>
    </row>
    <row r="317">
      <c r="A317" s="23" t="n">
        <v>46573</v>
      </c>
      <c r="B317" s="24" t="n"/>
      <c r="C317" s="24" t="n"/>
      <c r="D317" s="12">
        <f>IF($B317="","",SUM($C$4:$C317))</f>
        <v/>
      </c>
      <c r="E317" s="12">
        <f>IF($B317="","",$B317-$D317)</f>
        <v/>
      </c>
      <c r="F317" s="12">
        <f>IF($B317="","",MAX($B$4:$B317))</f>
        <v/>
      </c>
      <c r="G317" s="14">
        <f>IF($B317="","",IFERROR($B317/MAX($B$4:$B317)-1,0))</f>
        <v/>
      </c>
      <c r="H317" s="26" t="n"/>
    </row>
    <row r="318">
      <c r="A318" s="23" t="n">
        <v>46574</v>
      </c>
      <c r="B318" s="24" t="n"/>
      <c r="C318" s="24" t="n"/>
      <c r="D318" s="12">
        <f>IF($B318="","",SUM($C$4:$C318))</f>
        <v/>
      </c>
      <c r="E318" s="12">
        <f>IF($B318="","",$B318-$D318)</f>
        <v/>
      </c>
      <c r="F318" s="12">
        <f>IF($B318="","",MAX($B$4:$B318))</f>
        <v/>
      </c>
      <c r="G318" s="14">
        <f>IF($B318="","",IFERROR($B318/MAX($B$4:$B318)-1,0))</f>
        <v/>
      </c>
      <c r="H318" s="26" t="n"/>
    </row>
    <row r="319">
      <c r="A319" s="23" t="n">
        <v>46575</v>
      </c>
      <c r="B319" s="24" t="n"/>
      <c r="C319" s="24" t="n"/>
      <c r="D319" s="12">
        <f>IF($B319="","",SUM($C$4:$C319))</f>
        <v/>
      </c>
      <c r="E319" s="12">
        <f>IF($B319="","",$B319-$D319)</f>
        <v/>
      </c>
      <c r="F319" s="12">
        <f>IF($B319="","",MAX($B$4:$B319))</f>
        <v/>
      </c>
      <c r="G319" s="14">
        <f>IF($B319="","",IFERROR($B319/MAX($B$4:$B319)-1,0))</f>
        <v/>
      </c>
      <c r="H319" s="26" t="n"/>
    </row>
    <row r="320">
      <c r="A320" s="23" t="n">
        <v>46576</v>
      </c>
      <c r="B320" s="24" t="n"/>
      <c r="C320" s="24" t="n"/>
      <c r="D320" s="12">
        <f>IF($B320="","",SUM($C$4:$C320))</f>
        <v/>
      </c>
      <c r="E320" s="12">
        <f>IF($B320="","",$B320-$D320)</f>
        <v/>
      </c>
      <c r="F320" s="12">
        <f>IF($B320="","",MAX($B$4:$B320))</f>
        <v/>
      </c>
      <c r="G320" s="14">
        <f>IF($B320="","",IFERROR($B320/MAX($B$4:$B320)-1,0))</f>
        <v/>
      </c>
      <c r="H320" s="26" t="n"/>
    </row>
    <row r="321">
      <c r="A321" s="23" t="n">
        <v>46577</v>
      </c>
      <c r="B321" s="24" t="n"/>
      <c r="C321" s="24" t="n"/>
      <c r="D321" s="12">
        <f>IF($B321="","",SUM($C$4:$C321))</f>
        <v/>
      </c>
      <c r="E321" s="12">
        <f>IF($B321="","",$B321-$D321)</f>
        <v/>
      </c>
      <c r="F321" s="12">
        <f>IF($B321="","",MAX($B$4:$B321))</f>
        <v/>
      </c>
      <c r="G321" s="14">
        <f>IF($B321="","",IFERROR($B321/MAX($B$4:$B321)-1,0))</f>
        <v/>
      </c>
      <c r="H321" s="26" t="n"/>
    </row>
    <row r="322">
      <c r="A322" s="23" t="n">
        <v>46578</v>
      </c>
      <c r="B322" s="24" t="n"/>
      <c r="C322" s="24" t="n"/>
      <c r="D322" s="12">
        <f>IF($B322="","",SUM($C$4:$C322))</f>
        <v/>
      </c>
      <c r="E322" s="12">
        <f>IF($B322="","",$B322-$D322)</f>
        <v/>
      </c>
      <c r="F322" s="12">
        <f>IF($B322="","",MAX($B$4:$B322))</f>
        <v/>
      </c>
      <c r="G322" s="14">
        <f>IF($B322="","",IFERROR($B322/MAX($B$4:$B322)-1,0))</f>
        <v/>
      </c>
      <c r="H322" s="26" t="n"/>
    </row>
    <row r="323">
      <c r="A323" s="23" t="n">
        <v>46579</v>
      </c>
      <c r="B323" s="24" t="n"/>
      <c r="C323" s="24" t="n"/>
      <c r="D323" s="12">
        <f>IF($B323="","",SUM($C$4:$C323))</f>
        <v/>
      </c>
      <c r="E323" s="12">
        <f>IF($B323="","",$B323-$D323)</f>
        <v/>
      </c>
      <c r="F323" s="12">
        <f>IF($B323="","",MAX($B$4:$B323))</f>
        <v/>
      </c>
      <c r="G323" s="14">
        <f>IF($B323="","",IFERROR($B323/MAX($B$4:$B323)-1,0))</f>
        <v/>
      </c>
      <c r="H323" s="26" t="n"/>
    </row>
    <row r="324">
      <c r="A324" s="23" t="n">
        <v>46580</v>
      </c>
      <c r="B324" s="24" t="n"/>
      <c r="C324" s="24" t="n"/>
      <c r="D324" s="12">
        <f>IF($B324="","",SUM($C$4:$C324))</f>
        <v/>
      </c>
      <c r="E324" s="12">
        <f>IF($B324="","",$B324-$D324)</f>
        <v/>
      </c>
      <c r="F324" s="12">
        <f>IF($B324="","",MAX($B$4:$B324))</f>
        <v/>
      </c>
      <c r="G324" s="14">
        <f>IF($B324="","",IFERROR($B324/MAX($B$4:$B324)-1,0))</f>
        <v/>
      </c>
      <c r="H324" s="26" t="n"/>
    </row>
    <row r="325">
      <c r="A325" s="23" t="n">
        <v>46581</v>
      </c>
      <c r="B325" s="24" t="n"/>
      <c r="C325" s="24" t="n"/>
      <c r="D325" s="12">
        <f>IF($B325="","",SUM($C$4:$C325))</f>
        <v/>
      </c>
      <c r="E325" s="12">
        <f>IF($B325="","",$B325-$D325)</f>
        <v/>
      </c>
      <c r="F325" s="12">
        <f>IF($B325="","",MAX($B$4:$B325))</f>
        <v/>
      </c>
      <c r="G325" s="14">
        <f>IF($B325="","",IFERROR($B325/MAX($B$4:$B325)-1,0))</f>
        <v/>
      </c>
      <c r="H325" s="26" t="n"/>
    </row>
    <row r="326">
      <c r="A326" s="23" t="n">
        <v>46582</v>
      </c>
      <c r="B326" s="24" t="n"/>
      <c r="C326" s="24" t="n"/>
      <c r="D326" s="12">
        <f>IF($B326="","",SUM($C$4:$C326))</f>
        <v/>
      </c>
      <c r="E326" s="12">
        <f>IF($B326="","",$B326-$D326)</f>
        <v/>
      </c>
      <c r="F326" s="12">
        <f>IF($B326="","",MAX($B$4:$B326))</f>
        <v/>
      </c>
      <c r="G326" s="14">
        <f>IF($B326="","",IFERROR($B326/MAX($B$4:$B326)-1,0))</f>
        <v/>
      </c>
      <c r="H326" s="26" t="n"/>
    </row>
    <row r="327">
      <c r="A327" s="23" t="n">
        <v>46583</v>
      </c>
      <c r="B327" s="24" t="n"/>
      <c r="C327" s="24" t="n"/>
      <c r="D327" s="12">
        <f>IF($B327="","",SUM($C$4:$C327))</f>
        <v/>
      </c>
      <c r="E327" s="12">
        <f>IF($B327="","",$B327-$D327)</f>
        <v/>
      </c>
      <c r="F327" s="12">
        <f>IF($B327="","",MAX($B$4:$B327))</f>
        <v/>
      </c>
      <c r="G327" s="14">
        <f>IF($B327="","",IFERROR($B327/MAX($B$4:$B327)-1,0))</f>
        <v/>
      </c>
      <c r="H327" s="26" t="n"/>
    </row>
    <row r="328">
      <c r="A328" s="31" t="n">
        <v>46584</v>
      </c>
      <c r="B328" s="24" t="n"/>
      <c r="C328" s="24" t="n"/>
      <c r="D328" s="12">
        <f>IF($B328="","",SUM($C$4:$C328))</f>
        <v/>
      </c>
      <c r="E328" s="12">
        <f>IF($B328="","",$B328-$D328)</f>
        <v/>
      </c>
      <c r="F328" s="12">
        <f>IF($B328="","",MAX($B$4:$B328))</f>
        <v/>
      </c>
      <c r="G328" s="14">
        <f>IF($B328="","",IFERROR($B328/MAX($B$4:$B328)-1,0))</f>
        <v/>
      </c>
      <c r="H328" s="26" t="n"/>
    </row>
    <row r="329">
      <c r="A329" s="23" t="n">
        <v>46585</v>
      </c>
      <c r="B329" s="24" t="n"/>
      <c r="C329" s="24" t="n"/>
      <c r="D329" s="12">
        <f>IF($B329="","",SUM($C$4:$C329))</f>
        <v/>
      </c>
      <c r="E329" s="12">
        <f>IF($B329="","",$B329-$D329)</f>
        <v/>
      </c>
      <c r="F329" s="12">
        <f>IF($B329="","",MAX($B$4:$B329))</f>
        <v/>
      </c>
      <c r="G329" s="14">
        <f>IF($B329="","",IFERROR($B329/MAX($B$4:$B329)-1,0))</f>
        <v/>
      </c>
      <c r="H329" s="26" t="n"/>
    </row>
    <row r="330">
      <c r="A330" s="23" t="n">
        <v>46586</v>
      </c>
      <c r="B330" s="24" t="n"/>
      <c r="C330" s="24" t="n"/>
      <c r="D330" s="12">
        <f>IF($B330="","",SUM($C$4:$C330))</f>
        <v/>
      </c>
      <c r="E330" s="12">
        <f>IF($B330="","",$B330-$D330)</f>
        <v/>
      </c>
      <c r="F330" s="12">
        <f>IF($B330="","",MAX($B$4:$B330))</f>
        <v/>
      </c>
      <c r="G330" s="14">
        <f>IF($B330="","",IFERROR($B330/MAX($B$4:$B330)-1,0))</f>
        <v/>
      </c>
      <c r="H330" s="26" t="n"/>
    </row>
    <row r="331">
      <c r="A331" s="23" t="n">
        <v>46587</v>
      </c>
      <c r="B331" s="24" t="n"/>
      <c r="C331" s="24" t="n"/>
      <c r="D331" s="12">
        <f>IF($B331="","",SUM($C$4:$C331))</f>
        <v/>
      </c>
      <c r="E331" s="12">
        <f>IF($B331="","",$B331-$D331)</f>
        <v/>
      </c>
      <c r="F331" s="12">
        <f>IF($B331="","",MAX($B$4:$B331))</f>
        <v/>
      </c>
      <c r="G331" s="14">
        <f>IF($B331="","",IFERROR($B331/MAX($B$4:$B331)-1,0))</f>
        <v/>
      </c>
      <c r="H331" s="26" t="n"/>
    </row>
    <row r="332">
      <c r="A332" s="23" t="n">
        <v>46588</v>
      </c>
      <c r="B332" s="24" t="n"/>
      <c r="C332" s="24" t="n"/>
      <c r="D332" s="12">
        <f>IF($B332="","",SUM($C$4:$C332))</f>
        <v/>
      </c>
      <c r="E332" s="12">
        <f>IF($B332="","",$B332-$D332)</f>
        <v/>
      </c>
      <c r="F332" s="12">
        <f>IF($B332="","",MAX($B$4:$B332))</f>
        <v/>
      </c>
      <c r="G332" s="14">
        <f>IF($B332="","",IFERROR($B332/MAX($B$4:$B332)-1,0))</f>
        <v/>
      </c>
      <c r="H332" s="26" t="n"/>
    </row>
    <row r="333">
      <c r="A333" s="23" t="n">
        <v>46589</v>
      </c>
      <c r="B333" s="24" t="n"/>
      <c r="C333" s="24" t="n"/>
      <c r="D333" s="12">
        <f>IF($B333="","",SUM($C$4:$C333))</f>
        <v/>
      </c>
      <c r="E333" s="12">
        <f>IF($B333="","",$B333-$D333)</f>
        <v/>
      </c>
      <c r="F333" s="12">
        <f>IF($B333="","",MAX($B$4:$B333))</f>
        <v/>
      </c>
      <c r="G333" s="14">
        <f>IF($B333="","",IFERROR($B333/MAX($B$4:$B333)-1,0))</f>
        <v/>
      </c>
      <c r="H333" s="26" t="n"/>
    </row>
    <row r="334">
      <c r="A334" s="23" t="n">
        <v>46590</v>
      </c>
      <c r="B334" s="24" t="n"/>
      <c r="C334" s="24" t="n"/>
      <c r="D334" s="12">
        <f>IF($B334="","",SUM($C$4:$C334))</f>
        <v/>
      </c>
      <c r="E334" s="12">
        <f>IF($B334="","",$B334-$D334)</f>
        <v/>
      </c>
      <c r="F334" s="12">
        <f>IF($B334="","",MAX($B$4:$B334))</f>
        <v/>
      </c>
      <c r="G334" s="14">
        <f>IF($B334="","",IFERROR($B334/MAX($B$4:$B334)-1,0))</f>
        <v/>
      </c>
      <c r="H334" s="26" t="n"/>
    </row>
    <row r="335">
      <c r="A335" s="23" t="n">
        <v>46591</v>
      </c>
      <c r="B335" s="24" t="n"/>
      <c r="C335" s="24" t="n"/>
      <c r="D335" s="12">
        <f>IF($B335="","",SUM($C$4:$C335))</f>
        <v/>
      </c>
      <c r="E335" s="12">
        <f>IF($B335="","",$B335-$D335)</f>
        <v/>
      </c>
      <c r="F335" s="12">
        <f>IF($B335="","",MAX($B$4:$B335))</f>
        <v/>
      </c>
      <c r="G335" s="14">
        <f>IF($B335="","",IFERROR($B335/MAX($B$4:$B335)-1,0))</f>
        <v/>
      </c>
      <c r="H335" s="26" t="n"/>
    </row>
    <row r="336">
      <c r="A336" s="23" t="n">
        <v>46592</v>
      </c>
      <c r="B336" s="24" t="n"/>
      <c r="C336" s="24" t="n"/>
      <c r="D336" s="12">
        <f>IF($B336="","",SUM($C$4:$C336))</f>
        <v/>
      </c>
      <c r="E336" s="12">
        <f>IF($B336="","",$B336-$D336)</f>
        <v/>
      </c>
      <c r="F336" s="12">
        <f>IF($B336="","",MAX($B$4:$B336))</f>
        <v/>
      </c>
      <c r="G336" s="14">
        <f>IF($B336="","",IFERROR($B336/MAX($B$4:$B336)-1,0))</f>
        <v/>
      </c>
      <c r="H336" s="26" t="n"/>
    </row>
    <row r="337">
      <c r="A337" s="23" t="n">
        <v>46593</v>
      </c>
      <c r="B337" s="24" t="n"/>
      <c r="C337" s="24" t="n"/>
      <c r="D337" s="12">
        <f>IF($B337="","",SUM($C$4:$C337))</f>
        <v/>
      </c>
      <c r="E337" s="12">
        <f>IF($B337="","",$B337-$D337)</f>
        <v/>
      </c>
      <c r="F337" s="12">
        <f>IF($B337="","",MAX($B$4:$B337))</f>
        <v/>
      </c>
      <c r="G337" s="14">
        <f>IF($B337="","",IFERROR($B337/MAX($B$4:$B337)-1,0))</f>
        <v/>
      </c>
      <c r="H337" s="26" t="n"/>
    </row>
    <row r="338">
      <c r="A338" s="23" t="n">
        <v>46594</v>
      </c>
      <c r="B338" s="24" t="n"/>
      <c r="C338" s="24" t="n"/>
      <c r="D338" s="12">
        <f>IF($B338="","",SUM($C$4:$C338))</f>
        <v/>
      </c>
      <c r="E338" s="12">
        <f>IF($B338="","",$B338-$D338)</f>
        <v/>
      </c>
      <c r="F338" s="12">
        <f>IF($B338="","",MAX($B$4:$B338))</f>
        <v/>
      </c>
      <c r="G338" s="14">
        <f>IF($B338="","",IFERROR($B338/MAX($B$4:$B338)-1,0))</f>
        <v/>
      </c>
      <c r="H338" s="26" t="n"/>
    </row>
    <row r="339">
      <c r="A339" s="23" t="n">
        <v>46595</v>
      </c>
      <c r="B339" s="24" t="n"/>
      <c r="C339" s="24" t="n"/>
      <c r="D339" s="12">
        <f>IF($B339="","",SUM($C$4:$C339))</f>
        <v/>
      </c>
      <c r="E339" s="12">
        <f>IF($B339="","",$B339-$D339)</f>
        <v/>
      </c>
      <c r="F339" s="12">
        <f>IF($B339="","",MAX($B$4:$B339))</f>
        <v/>
      </c>
      <c r="G339" s="14">
        <f>IF($B339="","",IFERROR($B339/MAX($B$4:$B339)-1,0))</f>
        <v/>
      </c>
      <c r="H339" s="26" t="n"/>
    </row>
    <row r="340">
      <c r="A340" s="23" t="n">
        <v>46596</v>
      </c>
      <c r="B340" s="24" t="n"/>
      <c r="C340" s="24" t="n"/>
      <c r="D340" s="12">
        <f>IF($B340="","",SUM($C$4:$C340))</f>
        <v/>
      </c>
      <c r="E340" s="12">
        <f>IF($B340="","",$B340-$D340)</f>
        <v/>
      </c>
      <c r="F340" s="12">
        <f>IF($B340="","",MAX($B$4:$B340))</f>
        <v/>
      </c>
      <c r="G340" s="14">
        <f>IF($B340="","",IFERROR($B340/MAX($B$4:$B340)-1,0))</f>
        <v/>
      </c>
      <c r="H340" s="26" t="n"/>
    </row>
    <row r="341">
      <c r="A341" s="23" t="n">
        <v>46597</v>
      </c>
      <c r="B341" s="24" t="n"/>
      <c r="C341" s="24" t="n"/>
      <c r="D341" s="12">
        <f>IF($B341="","",SUM($C$4:$C341))</f>
        <v/>
      </c>
      <c r="E341" s="12">
        <f>IF($B341="","",$B341-$D341)</f>
        <v/>
      </c>
      <c r="F341" s="12">
        <f>IF($B341="","",MAX($B$4:$B341))</f>
        <v/>
      </c>
      <c r="G341" s="14">
        <f>IF($B341="","",IFERROR($B341/MAX($B$4:$B341)-1,0))</f>
        <v/>
      </c>
      <c r="H341" s="26" t="n"/>
    </row>
    <row r="342">
      <c r="A342" s="23" t="n">
        <v>46598</v>
      </c>
      <c r="B342" s="24" t="n"/>
      <c r="C342" s="24" t="n"/>
      <c r="D342" s="12">
        <f>IF($B342="","",SUM($C$4:$C342))</f>
        <v/>
      </c>
      <c r="E342" s="12">
        <f>IF($B342="","",$B342-$D342)</f>
        <v/>
      </c>
      <c r="F342" s="12">
        <f>IF($B342="","",MAX($B$4:$B342))</f>
        <v/>
      </c>
      <c r="G342" s="14">
        <f>IF($B342="","",IFERROR($B342/MAX($B$4:$B342)-1,0))</f>
        <v/>
      </c>
      <c r="H342" s="26" t="n"/>
    </row>
    <row r="343">
      <c r="A343" s="23" t="n">
        <v>46599</v>
      </c>
      <c r="B343" s="24" t="n"/>
      <c r="C343" s="24" t="n"/>
      <c r="D343" s="12">
        <f>IF($B343="","",SUM($C$4:$C343))</f>
        <v/>
      </c>
      <c r="E343" s="12">
        <f>IF($B343="","",$B343-$D343)</f>
        <v/>
      </c>
      <c r="F343" s="12">
        <f>IF($B343="","",MAX($B$4:$B343))</f>
        <v/>
      </c>
      <c r="G343" s="14">
        <f>IF($B343="","",IFERROR($B343/MAX($B$4:$B343)-1,0))</f>
        <v/>
      </c>
      <c r="H343" s="26" t="n"/>
    </row>
    <row r="344">
      <c r="A344" s="31" t="n">
        <v>46600</v>
      </c>
      <c r="B344" s="24" t="n"/>
      <c r="C344" s="24" t="n"/>
      <c r="D344" s="12">
        <f>IF($B344="","",SUM($C$4:$C344))</f>
        <v/>
      </c>
      <c r="E344" s="12">
        <f>IF($B344="","",$B344-$D344)</f>
        <v/>
      </c>
      <c r="F344" s="12">
        <f>IF($B344="","",MAX($B$4:$B344))</f>
        <v/>
      </c>
      <c r="G344" s="14">
        <f>IF($B344="","",IFERROR($B344/MAX($B$4:$B344)-1,0))</f>
        <v/>
      </c>
      <c r="H344" s="26" t="n"/>
    </row>
    <row r="345">
      <c r="A345" s="23" t="n">
        <v>46601</v>
      </c>
      <c r="B345" s="24" t="n"/>
      <c r="C345" s="24" t="n"/>
      <c r="D345" s="12">
        <f>IF($B345="","",SUM($C$4:$C345))</f>
        <v/>
      </c>
      <c r="E345" s="12">
        <f>IF($B345="","",$B345-$D345)</f>
        <v/>
      </c>
      <c r="F345" s="12">
        <f>IF($B345="","",MAX($B$4:$B345))</f>
        <v/>
      </c>
      <c r="G345" s="14">
        <f>IF($B345="","",IFERROR($B345/MAX($B$4:$B345)-1,0))</f>
        <v/>
      </c>
      <c r="H345" s="26" t="n"/>
    </row>
    <row r="346">
      <c r="A346" s="23" t="n">
        <v>46602</v>
      </c>
      <c r="B346" s="24" t="n"/>
      <c r="C346" s="24" t="n"/>
      <c r="D346" s="12">
        <f>IF($B346="","",SUM($C$4:$C346))</f>
        <v/>
      </c>
      <c r="E346" s="12">
        <f>IF($B346="","",$B346-$D346)</f>
        <v/>
      </c>
      <c r="F346" s="12">
        <f>IF($B346="","",MAX($B$4:$B346))</f>
        <v/>
      </c>
      <c r="G346" s="14">
        <f>IF($B346="","",IFERROR($B346/MAX($B$4:$B346)-1,0))</f>
        <v/>
      </c>
      <c r="H346" s="26" t="n"/>
    </row>
    <row r="347">
      <c r="A347" s="23" t="n">
        <v>46603</v>
      </c>
      <c r="B347" s="24" t="n"/>
      <c r="C347" s="24" t="n"/>
      <c r="D347" s="12">
        <f>IF($B347="","",SUM($C$4:$C347))</f>
        <v/>
      </c>
      <c r="E347" s="12">
        <f>IF($B347="","",$B347-$D347)</f>
        <v/>
      </c>
      <c r="F347" s="12">
        <f>IF($B347="","",MAX($B$4:$B347))</f>
        <v/>
      </c>
      <c r="G347" s="14">
        <f>IF($B347="","",IFERROR($B347/MAX($B$4:$B347)-1,0))</f>
        <v/>
      </c>
      <c r="H347" s="26" t="n"/>
    </row>
    <row r="348">
      <c r="A348" s="23" t="n">
        <v>46604</v>
      </c>
      <c r="B348" s="24" t="n"/>
      <c r="C348" s="24" t="n"/>
      <c r="D348" s="12">
        <f>IF($B348="","",SUM($C$4:$C348))</f>
        <v/>
      </c>
      <c r="E348" s="12">
        <f>IF($B348="","",$B348-$D348)</f>
        <v/>
      </c>
      <c r="F348" s="12">
        <f>IF($B348="","",MAX($B$4:$B348))</f>
        <v/>
      </c>
      <c r="G348" s="14">
        <f>IF($B348="","",IFERROR($B348/MAX($B$4:$B348)-1,0))</f>
        <v/>
      </c>
      <c r="H348" s="26" t="n"/>
    </row>
    <row r="349">
      <c r="A349" s="23" t="n">
        <v>46605</v>
      </c>
      <c r="B349" s="24" t="n"/>
      <c r="C349" s="24" t="n"/>
      <c r="D349" s="12">
        <f>IF($B349="","",SUM($C$4:$C349))</f>
        <v/>
      </c>
      <c r="E349" s="12">
        <f>IF($B349="","",$B349-$D349)</f>
        <v/>
      </c>
      <c r="F349" s="12">
        <f>IF($B349="","",MAX($B$4:$B349))</f>
        <v/>
      </c>
      <c r="G349" s="14">
        <f>IF($B349="","",IFERROR($B349/MAX($B$4:$B349)-1,0))</f>
        <v/>
      </c>
      <c r="H349" s="26" t="n"/>
    </row>
    <row r="350">
      <c r="A350" s="23" t="n">
        <v>46606</v>
      </c>
      <c r="B350" s="24" t="n"/>
      <c r="C350" s="24" t="n"/>
      <c r="D350" s="12">
        <f>IF($B350="","",SUM($C$4:$C350))</f>
        <v/>
      </c>
      <c r="E350" s="12">
        <f>IF($B350="","",$B350-$D350)</f>
        <v/>
      </c>
      <c r="F350" s="12">
        <f>IF($B350="","",MAX($B$4:$B350))</f>
        <v/>
      </c>
      <c r="G350" s="14">
        <f>IF($B350="","",IFERROR($B350/MAX($B$4:$B350)-1,0))</f>
        <v/>
      </c>
      <c r="H350" s="26" t="n"/>
    </row>
    <row r="351">
      <c r="A351" s="23" t="n">
        <v>46607</v>
      </c>
      <c r="B351" s="24" t="n"/>
      <c r="C351" s="24" t="n"/>
      <c r="D351" s="12">
        <f>IF($B351="","",SUM($C$4:$C351))</f>
        <v/>
      </c>
      <c r="E351" s="12">
        <f>IF($B351="","",$B351-$D351)</f>
        <v/>
      </c>
      <c r="F351" s="12">
        <f>IF($B351="","",MAX($B$4:$B351))</f>
        <v/>
      </c>
      <c r="G351" s="14">
        <f>IF($B351="","",IFERROR($B351/MAX($B$4:$B351)-1,0))</f>
        <v/>
      </c>
      <c r="H351" s="26" t="n"/>
    </row>
    <row r="352">
      <c r="A352" s="23" t="n">
        <v>46608</v>
      </c>
      <c r="B352" s="24" t="n"/>
      <c r="C352" s="24" t="n"/>
      <c r="D352" s="12">
        <f>IF($B352="","",SUM($C$4:$C352))</f>
        <v/>
      </c>
      <c r="E352" s="12">
        <f>IF($B352="","",$B352-$D352)</f>
        <v/>
      </c>
      <c r="F352" s="12">
        <f>IF($B352="","",MAX($B$4:$B352))</f>
        <v/>
      </c>
      <c r="G352" s="14">
        <f>IF($B352="","",IFERROR($B352/MAX($B$4:$B352)-1,0))</f>
        <v/>
      </c>
      <c r="H352" s="26" t="n"/>
    </row>
    <row r="353">
      <c r="A353" s="23" t="n">
        <v>46609</v>
      </c>
      <c r="B353" s="24" t="n"/>
      <c r="C353" s="24" t="n"/>
      <c r="D353" s="12">
        <f>IF($B353="","",SUM($C$4:$C353))</f>
        <v/>
      </c>
      <c r="E353" s="12">
        <f>IF($B353="","",$B353-$D353)</f>
        <v/>
      </c>
      <c r="F353" s="12">
        <f>IF($B353="","",MAX($B$4:$B353))</f>
        <v/>
      </c>
      <c r="G353" s="14">
        <f>IF($B353="","",IFERROR($B353/MAX($B$4:$B353)-1,0))</f>
        <v/>
      </c>
      <c r="H353" s="26" t="n"/>
    </row>
    <row r="354">
      <c r="A354" s="23" t="n">
        <v>46610</v>
      </c>
      <c r="B354" s="24" t="n"/>
      <c r="C354" s="24" t="n"/>
      <c r="D354" s="12">
        <f>IF($B354="","",SUM($C$4:$C354))</f>
        <v/>
      </c>
      <c r="E354" s="12">
        <f>IF($B354="","",$B354-$D354)</f>
        <v/>
      </c>
      <c r="F354" s="12">
        <f>IF($B354="","",MAX($B$4:$B354))</f>
        <v/>
      </c>
      <c r="G354" s="14">
        <f>IF($B354="","",IFERROR($B354/MAX($B$4:$B354)-1,0))</f>
        <v/>
      </c>
      <c r="H354" s="26" t="n"/>
    </row>
    <row r="355">
      <c r="A355" s="23" t="n">
        <v>46611</v>
      </c>
      <c r="B355" s="24" t="n"/>
      <c r="C355" s="24" t="n"/>
      <c r="D355" s="12">
        <f>IF($B355="","",SUM($C$4:$C355))</f>
        <v/>
      </c>
      <c r="E355" s="12">
        <f>IF($B355="","",$B355-$D355)</f>
        <v/>
      </c>
      <c r="F355" s="12">
        <f>IF($B355="","",MAX($B$4:$B355))</f>
        <v/>
      </c>
      <c r="G355" s="14">
        <f>IF($B355="","",IFERROR($B355/MAX($B$4:$B355)-1,0))</f>
        <v/>
      </c>
      <c r="H355" s="26" t="n"/>
    </row>
    <row r="356">
      <c r="A356" s="23" t="n">
        <v>46612</v>
      </c>
      <c r="B356" s="24" t="n"/>
      <c r="C356" s="24" t="n"/>
      <c r="D356" s="12">
        <f>IF($B356="","",SUM($C$4:$C356))</f>
        <v/>
      </c>
      <c r="E356" s="12">
        <f>IF($B356="","",$B356-$D356)</f>
        <v/>
      </c>
      <c r="F356" s="12">
        <f>IF($B356="","",MAX($B$4:$B356))</f>
        <v/>
      </c>
      <c r="G356" s="14">
        <f>IF($B356="","",IFERROR($B356/MAX($B$4:$B356)-1,0))</f>
        <v/>
      </c>
      <c r="H356" s="26" t="n"/>
    </row>
    <row r="357">
      <c r="A357" s="23" t="n">
        <v>46613</v>
      </c>
      <c r="B357" s="24" t="n"/>
      <c r="C357" s="24" t="n"/>
      <c r="D357" s="12">
        <f>IF($B357="","",SUM($C$4:$C357))</f>
        <v/>
      </c>
      <c r="E357" s="12">
        <f>IF($B357="","",$B357-$D357)</f>
        <v/>
      </c>
      <c r="F357" s="12">
        <f>IF($B357="","",MAX($B$4:$B357))</f>
        <v/>
      </c>
      <c r="G357" s="14">
        <f>IF($B357="","",IFERROR($B357/MAX($B$4:$B357)-1,0))</f>
        <v/>
      </c>
      <c r="H357" s="26" t="n"/>
    </row>
    <row r="358">
      <c r="A358" s="23" t="n">
        <v>46614</v>
      </c>
      <c r="B358" s="24" t="n"/>
      <c r="C358" s="24" t="n"/>
      <c r="D358" s="12">
        <f>IF($B358="","",SUM($C$4:$C358))</f>
        <v/>
      </c>
      <c r="E358" s="12">
        <f>IF($B358="","",$B358-$D358)</f>
        <v/>
      </c>
      <c r="F358" s="12">
        <f>IF($B358="","",MAX($B$4:$B358))</f>
        <v/>
      </c>
      <c r="G358" s="14">
        <f>IF($B358="","",IFERROR($B358/MAX($B$4:$B358)-1,0))</f>
        <v/>
      </c>
      <c r="H358" s="26" t="n"/>
    </row>
    <row r="359">
      <c r="A359" s="31" t="n">
        <v>46615</v>
      </c>
      <c r="B359" s="24" t="n"/>
      <c r="C359" s="24" t="n"/>
      <c r="D359" s="12">
        <f>IF($B359="","",SUM($C$4:$C359))</f>
        <v/>
      </c>
      <c r="E359" s="12">
        <f>IF($B359="","",$B359-$D359)</f>
        <v/>
      </c>
      <c r="F359" s="12">
        <f>IF($B359="","",MAX($B$4:$B359))</f>
        <v/>
      </c>
      <c r="G359" s="14">
        <f>IF($B359="","",IFERROR($B359/MAX($B$4:$B359)-1,0))</f>
        <v/>
      </c>
      <c r="H359" s="26" t="n"/>
    </row>
    <row r="360">
      <c r="A360" s="23" t="n">
        <v>46616</v>
      </c>
      <c r="B360" s="24" t="n"/>
      <c r="C360" s="24" t="n"/>
      <c r="D360" s="12">
        <f>IF($B360="","",SUM($C$4:$C360))</f>
        <v/>
      </c>
      <c r="E360" s="12">
        <f>IF($B360="","",$B360-$D360)</f>
        <v/>
      </c>
      <c r="F360" s="12">
        <f>IF($B360="","",MAX($B$4:$B360))</f>
        <v/>
      </c>
      <c r="G360" s="14">
        <f>IF($B360="","",IFERROR($B360/MAX($B$4:$B360)-1,0))</f>
        <v/>
      </c>
      <c r="H360" s="26" t="n"/>
    </row>
    <row r="361">
      <c r="A361" s="23" t="n">
        <v>46617</v>
      </c>
      <c r="B361" s="24" t="n"/>
      <c r="C361" s="24" t="n"/>
      <c r="D361" s="12">
        <f>IF($B361="","",SUM($C$4:$C361))</f>
        <v/>
      </c>
      <c r="E361" s="12">
        <f>IF($B361="","",$B361-$D361)</f>
        <v/>
      </c>
      <c r="F361" s="12">
        <f>IF($B361="","",MAX($B$4:$B361))</f>
        <v/>
      </c>
      <c r="G361" s="14">
        <f>IF($B361="","",IFERROR($B361/MAX($B$4:$B361)-1,0))</f>
        <v/>
      </c>
      <c r="H361" s="26" t="n"/>
    </row>
    <row r="362">
      <c r="A362" s="23" t="n">
        <v>46618</v>
      </c>
      <c r="B362" s="24" t="n"/>
      <c r="C362" s="24" t="n"/>
      <c r="D362" s="12">
        <f>IF($B362="","",SUM($C$4:$C362))</f>
        <v/>
      </c>
      <c r="E362" s="12">
        <f>IF($B362="","",$B362-$D362)</f>
        <v/>
      </c>
      <c r="F362" s="12">
        <f>IF($B362="","",MAX($B$4:$B362))</f>
        <v/>
      </c>
      <c r="G362" s="14">
        <f>IF($B362="","",IFERROR($B362/MAX($B$4:$B362)-1,0))</f>
        <v/>
      </c>
      <c r="H362" s="26" t="n"/>
    </row>
    <row r="363">
      <c r="A363" s="23" t="n">
        <v>46619</v>
      </c>
      <c r="B363" s="24" t="n"/>
      <c r="C363" s="24" t="n"/>
      <c r="D363" s="12">
        <f>IF($B363="","",SUM($C$4:$C363))</f>
        <v/>
      </c>
      <c r="E363" s="12">
        <f>IF($B363="","",$B363-$D363)</f>
        <v/>
      </c>
      <c r="F363" s="12">
        <f>IF($B363="","",MAX($B$4:$B363))</f>
        <v/>
      </c>
      <c r="G363" s="14">
        <f>IF($B363="","",IFERROR($B363/MAX($B$4:$B363)-1,0))</f>
        <v/>
      </c>
      <c r="H363" s="26" t="n"/>
    </row>
    <row r="364">
      <c r="A364" s="23" t="n">
        <v>46620</v>
      </c>
      <c r="B364" s="24" t="n"/>
      <c r="C364" s="24" t="n"/>
      <c r="D364" s="12">
        <f>IF($B364="","",SUM($C$4:$C364))</f>
        <v/>
      </c>
      <c r="E364" s="12">
        <f>IF($B364="","",$B364-$D364)</f>
        <v/>
      </c>
      <c r="F364" s="12">
        <f>IF($B364="","",MAX($B$4:$B364))</f>
        <v/>
      </c>
      <c r="G364" s="14">
        <f>IF($B364="","",IFERROR($B364/MAX($B$4:$B364)-1,0))</f>
        <v/>
      </c>
      <c r="H364" s="26" t="n"/>
    </row>
    <row r="365">
      <c r="A365" s="23" t="n">
        <v>46621</v>
      </c>
      <c r="B365" s="24" t="n"/>
      <c r="C365" s="24" t="n"/>
      <c r="D365" s="12">
        <f>IF($B365="","",SUM($C$4:$C365))</f>
        <v/>
      </c>
      <c r="E365" s="12">
        <f>IF($B365="","",$B365-$D365)</f>
        <v/>
      </c>
      <c r="F365" s="12">
        <f>IF($B365="","",MAX($B$4:$B365))</f>
        <v/>
      </c>
      <c r="G365" s="14">
        <f>IF($B365="","",IFERROR($B365/MAX($B$4:$B365)-1,0))</f>
        <v/>
      </c>
      <c r="H365" s="26" t="n"/>
    </row>
    <row r="366">
      <c r="A366" s="23" t="n">
        <v>46622</v>
      </c>
      <c r="B366" s="24" t="n"/>
      <c r="C366" s="24" t="n"/>
      <c r="D366" s="12">
        <f>IF($B366="","",SUM($C$4:$C366))</f>
        <v/>
      </c>
      <c r="E366" s="12">
        <f>IF($B366="","",$B366-$D366)</f>
        <v/>
      </c>
      <c r="F366" s="12">
        <f>IF($B366="","",MAX($B$4:$B366))</f>
        <v/>
      </c>
      <c r="G366" s="14">
        <f>IF($B366="","",IFERROR($B366/MAX($B$4:$B366)-1,0))</f>
        <v/>
      </c>
      <c r="H366" s="26" t="n"/>
    </row>
    <row r="367">
      <c r="A367" s="23" t="n">
        <v>46623</v>
      </c>
      <c r="B367" s="24" t="n"/>
      <c r="C367" s="24" t="n"/>
      <c r="D367" s="12">
        <f>IF($B367="","",SUM($C$4:$C367))</f>
        <v/>
      </c>
      <c r="E367" s="12">
        <f>IF($B367="","",$B367-$D367)</f>
        <v/>
      </c>
      <c r="F367" s="12">
        <f>IF($B367="","",MAX($B$4:$B367))</f>
        <v/>
      </c>
      <c r="G367" s="14">
        <f>IF($B367="","",IFERROR($B367/MAX($B$4:$B367)-1,0))</f>
        <v/>
      </c>
      <c r="H367" s="26" t="n"/>
    </row>
    <row r="368">
      <c r="A368" s="23" t="n">
        <v>46624</v>
      </c>
      <c r="B368" s="24" t="n"/>
      <c r="C368" s="24" t="n"/>
      <c r="D368" s="12">
        <f>IF($B368="","",SUM($C$4:$C368))</f>
        <v/>
      </c>
      <c r="E368" s="12">
        <f>IF($B368="","",$B368-$D368)</f>
        <v/>
      </c>
      <c r="F368" s="12">
        <f>IF($B368="","",MAX($B$4:$B368))</f>
        <v/>
      </c>
      <c r="G368" s="14">
        <f>IF($B368="","",IFERROR($B368/MAX($B$4:$B368)-1,0))</f>
        <v/>
      </c>
      <c r="H368" s="26" t="n"/>
    </row>
    <row r="369">
      <c r="A369" s="23" t="n">
        <v>46625</v>
      </c>
      <c r="B369" s="24" t="n"/>
      <c r="C369" s="24" t="n"/>
      <c r="D369" s="12">
        <f>IF($B369="","",SUM($C$4:$C369))</f>
        <v/>
      </c>
      <c r="E369" s="12">
        <f>IF($B369="","",$B369-$D369)</f>
        <v/>
      </c>
      <c r="F369" s="12">
        <f>IF($B369="","",MAX($B$4:$B369))</f>
        <v/>
      </c>
      <c r="G369" s="14">
        <f>IF($B369="","",IFERROR($B369/MAX($B$4:$B369)-1,0))</f>
        <v/>
      </c>
      <c r="H369" s="26" t="n"/>
    </row>
    <row r="370">
      <c r="A370" s="23" t="n">
        <v>46626</v>
      </c>
      <c r="B370" s="24" t="n"/>
      <c r="C370" s="24" t="n"/>
      <c r="D370" s="12">
        <f>IF($B370="","",SUM($C$4:$C370))</f>
        <v/>
      </c>
      <c r="E370" s="12">
        <f>IF($B370="","",$B370-$D370)</f>
        <v/>
      </c>
      <c r="F370" s="12">
        <f>IF($B370="","",MAX($B$4:$B370))</f>
        <v/>
      </c>
      <c r="G370" s="14">
        <f>IF($B370="","",IFERROR($B370/MAX($B$4:$B370)-1,0))</f>
        <v/>
      </c>
      <c r="H370" s="26" t="n"/>
    </row>
    <row r="371">
      <c r="A371" s="23" t="n">
        <v>46627</v>
      </c>
      <c r="B371" s="24" t="n"/>
      <c r="C371" s="24" t="n"/>
      <c r="D371" s="12">
        <f>IF($B371="","",SUM($C$4:$C371))</f>
        <v/>
      </c>
      <c r="E371" s="12">
        <f>IF($B371="","",$B371-$D371)</f>
        <v/>
      </c>
      <c r="F371" s="12">
        <f>IF($B371="","",MAX($B$4:$B371))</f>
        <v/>
      </c>
      <c r="G371" s="14">
        <f>IF($B371="","",IFERROR($B371/MAX($B$4:$B371)-1,0))</f>
        <v/>
      </c>
      <c r="H371" s="26" t="n"/>
    </row>
    <row r="372">
      <c r="A372" s="23" t="n">
        <v>46628</v>
      </c>
      <c r="B372" s="24" t="n"/>
      <c r="C372" s="24" t="n"/>
      <c r="D372" s="12">
        <f>IF($B372="","",SUM($C$4:$C372))</f>
        <v/>
      </c>
      <c r="E372" s="12">
        <f>IF($B372="","",$B372-$D372)</f>
        <v/>
      </c>
      <c r="F372" s="12">
        <f>IF($B372="","",MAX($B$4:$B372))</f>
        <v/>
      </c>
      <c r="G372" s="14">
        <f>IF($B372="","",IFERROR($B372/MAX($B$4:$B372)-1,0))</f>
        <v/>
      </c>
      <c r="H372" s="26" t="n"/>
    </row>
    <row r="373">
      <c r="A373" s="23" t="n">
        <v>46629</v>
      </c>
      <c r="B373" s="24" t="n"/>
      <c r="C373" s="24" t="n"/>
      <c r="D373" s="12">
        <f>IF($B373="","",SUM($C$4:$C373))</f>
        <v/>
      </c>
      <c r="E373" s="12">
        <f>IF($B373="","",$B373-$D373)</f>
        <v/>
      </c>
      <c r="F373" s="12">
        <f>IF($B373="","",MAX($B$4:$B373))</f>
        <v/>
      </c>
      <c r="G373" s="14">
        <f>IF($B373="","",IFERROR($B373/MAX($B$4:$B373)-1,0))</f>
        <v/>
      </c>
      <c r="H373" s="26" t="n"/>
    </row>
  </sheetData>
  <mergeCells count="2">
    <mergeCell ref="A2:H2"/>
    <mergeCell ref="A1:H1"/>
  </mergeCells>
  <conditionalFormatting sqref="A4:H373">
    <cfRule type="expression" priority="1" dxfId="2">
      <formula>$A4=TODAY()</formula>
    </cfRule>
  </conditionalFormatting>
  <conditionalFormatting sqref="E4:E373">
    <cfRule type="cellIs" priority="2" operator="lessThan" dxfId="4">
      <formula>0</formula>
    </cfRule>
  </conditionalFormatting>
  <conditionalFormatting sqref="G4:G373">
    <cfRule type="cellIs" priority="3" operator="lessThan" dxfId="1">
      <formula>-0.1</formula>
    </cfRule>
  </conditionalFormatting>
  <pageMargins left="0.75" right="0.75" top="1" bottom="1" header="0.5" footer="0.5"/>
</worksheet>
</file>

<file path=xl/worksheets/sheet7.xml><?xml version="1.0" encoding="utf-8"?>
<worksheet xmlns="http://schemas.openxmlformats.org/spreadsheetml/2006/main">
  <sheetPr>
    <tabColor rgb="00B45309"/>
    <outlinePr summaryBelow="1" summaryRight="1"/>
    <pageSetUpPr/>
  </sheetPr>
  <dimension ref="A1:D50"/>
  <sheetViews>
    <sheetView showGridLines="0" workbookViewId="0">
      <selection activeCell="A1" sqref="A1"/>
    </sheetView>
  </sheetViews>
  <sheetFormatPr baseColWidth="8" defaultRowHeight="15"/>
  <cols>
    <col width="3" customWidth="1" min="1" max="1"/>
    <col width="46" customWidth="1" min="2" max="2"/>
    <col width="18" customWidth="1" min="3" max="3"/>
    <col width="62" customWidth="1" min="4" max="4"/>
  </cols>
  <sheetData>
    <row r="1" ht="34" customHeight="1">
      <c r="A1" s="1" t="inlineStr">
        <is>
          <t>⚙️ ตั้งค่าและสมมติฐาน</t>
        </is>
      </c>
    </row>
    <row r="2" ht="30" customHeight="1">
      <c r="A2" s="2" t="inlineStr">
        <is>
          <t>แก้เฉพาะช่องสีเหลือง (ตัวเลขสีน้ำเงิน) — ช่องสีเทาคือสูตรคำนวณ ห้ามพิมพ์ทับ · ตัวอย่างการกรอก: ราคาทรัพย์เฉลี่ย = 2800000 , ค่าคอม = 0.03 (หมายถึง 3%)</t>
        </is>
      </c>
    </row>
    <row r="4" ht="24" customHeight="1">
      <c r="B4" s="5" t="inlineStr">
        <is>
          <t>1 · ตัวเลขธุรกิจ (นายหน้า / lead-gen อสังหาฯ หาดใหญ่)</t>
        </is>
      </c>
    </row>
    <row r="5">
      <c r="B5" s="11" t="inlineStr">
        <is>
          <t>ราคาทรัพย์เฉลี่ยต่อดีล (บาท)</t>
        </is>
      </c>
      <c r="C5" s="54" t="n">
        <v>2800000</v>
      </c>
      <c r="D5" s="17" t="inlineStr">
        <is>
          <t>ราคาบ้าน/ทาวน์โฮมที่คุณปิดได้บ่อยที่สุดในหาดใหญ่</t>
        </is>
      </c>
    </row>
    <row r="6">
      <c r="B6" s="11" t="inlineStr">
        <is>
          <t>อัตราค่าคอมมิชชันที่ได้รับ (%)</t>
        </is>
      </c>
      <c r="C6" s="55" t="n">
        <v>0.03</v>
      </c>
      <c r="D6" s="17" t="inlineStr">
        <is>
          <t>ขายบ้านมือสอง 3% · โครงการจัดสรรมักได้ 2-3% · เช่า 1 เดือน</t>
        </is>
      </c>
    </row>
    <row r="7">
      <c r="B7" s="11" t="inlineStr">
        <is>
          <t>ส่วนแบ่งให้ co-agent / ทีม (%)</t>
        </is>
      </c>
      <c r="C7" s="55" t="n">
        <v>0</v>
      </c>
      <c r="D7" s="17" t="inlineStr">
        <is>
          <t>ถ้าแบ่งครึ่งกับนายหน้าอีกฝั่ง ใส่ 0.50</t>
        </is>
      </c>
    </row>
    <row r="8">
      <c r="B8" s="11" t="inlineStr">
        <is>
          <t>➜ คอมมิชชันสุทธิต่อ 1 ดีล (บาท)</t>
        </is>
      </c>
      <c r="C8" s="56">
        <f>$C$5*$C$6*(1-$C$7)</f>
        <v/>
      </c>
      <c r="D8" s="17" t="inlineStr">
        <is>
          <t>คำนวณอัตโนมัติ</t>
        </is>
      </c>
    </row>
    <row r="9">
      <c r="B9" s="11" t="inlineStr">
        <is>
          <t>งบโฆษณาต่อวัน (บาท)</t>
        </is>
      </c>
      <c r="C9" s="54" t="n">
        <v>500</v>
      </c>
      <c r="D9" s="17" t="inlineStr">
        <is>
          <t>เงินก้อนเดียวที่คุณเสี่ยงจริง ๆ — ขาดทุนสูงสุดต่อเดือนคือตัวเลขนี้ x30</t>
        </is>
      </c>
    </row>
    <row r="10">
      <c r="B10" s="11" t="inlineStr">
        <is>
          <t>ต้นทุนคงที่ต่อเดือน (บาท)</t>
        </is>
      </c>
      <c r="C10" s="54" t="n">
        <v>15000</v>
      </c>
      <c r="D10" s="17" t="inlineStr">
        <is>
          <t>ค่าน้ำมัน ค่าเน็ต ค่าเครื่องมือ ค่าจ้างแอดมิน ค่าเซิร์ฟเวอร์ LINE bot</t>
        </is>
      </c>
    </row>
    <row r="11">
      <c r="B11" s="11" t="inlineStr">
        <is>
          <t>อัตราปิด: lead คุณภาพ ➜ โอน (%)</t>
        </is>
      </c>
      <c r="C11" s="55" t="n">
        <v>0.03</v>
      </c>
      <c r="D11" s="17" t="inlineStr">
        <is>
          <t>เริ่มที่ 3% ถ้ายังไม่รู้ตัวเลขจริง · แก้เป็นของจริงหลังครบ 30 วัน</t>
        </is>
      </c>
    </row>
    <row r="12">
      <c r="B12" s="11" t="inlineStr">
        <is>
          <t>CPQL จริง — ค่าโฆษณาต่อ lead คุณภาพ 1 คน (บาท)</t>
        </is>
      </c>
      <c r="C12" s="54" t="n">
        <v>400</v>
      </c>
      <c r="D12" s="17" t="inlineStr">
        <is>
          <t>แดชบอร์ดจะบอกตัวเลขจริงให้หลังบันทึกไป 7 วัน</t>
        </is>
      </c>
    </row>
    <row r="13">
      <c r="B13" s="11" t="inlineStr">
        <is>
          <t>➜ มูลค่าของ lead คุณภาพ 1 คน (บาท)</t>
        </is>
      </c>
      <c r="C13" s="56">
        <f>$C$8*$C$11</f>
        <v/>
      </c>
      <c r="D13" s="17" t="inlineStr">
        <is>
          <t>คอมสุทธิ x อัตราปิด = เงินที่ lead 1 คนมีค่าเฉลี่ย</t>
        </is>
      </c>
    </row>
    <row r="14">
      <c r="B14" s="11" t="inlineStr">
        <is>
          <t>➜ เพดาน CPQL ที่ยอมจ่ายได้ (บาท)</t>
        </is>
      </c>
      <c r="C14" s="56">
        <f>$C$13*0.25</f>
        <v/>
      </c>
      <c r="D14" s="17" t="inlineStr">
        <is>
          <t>จ่ายไม่เกิน 25% ของมูลค่า lead · เกินเพดาน = หยุดแอดทันที</t>
        </is>
      </c>
    </row>
    <row r="15">
      <c r="B15" s="11" t="inlineStr">
        <is>
          <t>จำนวนวันเฉลี่ย: lead ➜ โอนเงิน</t>
        </is>
      </c>
      <c r="C15" s="54" t="n">
        <v>75</v>
      </c>
      <c r="D15" s="17" t="inlineStr">
        <is>
          <t>อสังหาฯ ไทยใช้เวลายื่นกู้+โอนราว 60-90 วัน — วางแผนเงินสดเผื่อไว้</t>
        </is>
      </c>
    </row>
    <row r="16" ht="24" customHeight="1">
      <c r="B16" s="5" t="inlineStr">
        <is>
          <t>2 · เป้าหมายและผลที่คาดว่าจะได้</t>
        </is>
      </c>
    </row>
    <row r="17">
      <c r="B17" s="11" t="inlineStr">
        <is>
          <t>เป้ารายได้ค่าคอมต่อเดือน (บาท)</t>
        </is>
      </c>
      <c r="C17" s="54" t="n">
        <v>150000</v>
      </c>
      <c r="D17" s="17" t="inlineStr">
        <is>
          <t>ตั้งให้ท้าทายแต่เป็นไปได้</t>
        </is>
      </c>
    </row>
    <row r="18">
      <c r="B18" s="11" t="inlineStr">
        <is>
          <t>➜ ต้องปิดกี่ดีลต่อเดือน</t>
        </is>
      </c>
      <c r="C18" s="57">
        <f>IFERROR($C$17/$C$8,0)</f>
        <v/>
      </c>
      <c r="D18" s="17" t="inlineStr"/>
    </row>
    <row r="19">
      <c r="B19" s="11" t="inlineStr">
        <is>
          <t>➜ ต้องมี lead คุณภาพกี่คนต่อเดือน</t>
        </is>
      </c>
      <c r="C19" s="58">
        <f>IFERROR($C$18/$C$11,0)</f>
        <v/>
      </c>
      <c r="D19" s="17" t="inlineStr"/>
    </row>
    <row r="20">
      <c r="B20" s="11" t="inlineStr">
        <is>
          <t>➜ ต้องมี lead คุณภาพกี่คนต่อวัน</t>
        </is>
      </c>
      <c r="C20" s="59">
        <f>IFERROR($C$19/30,0)</f>
        <v/>
      </c>
      <c r="D20" s="17" t="inlineStr">
        <is>
          <t>ตัวเลขนี้คือ KPI เดียวที่ต้องดูทุกวัน</t>
        </is>
      </c>
    </row>
    <row r="21">
      <c r="B21" s="11" t="inlineStr">
        <is>
          <t>➜ งบโฆษณาต่อเดือน (บาท)</t>
        </is>
      </c>
      <c r="C21" s="56">
        <f>$C$9*30</f>
        <v/>
      </c>
      <c r="D21" s="17" t="inlineStr"/>
    </row>
    <row r="22">
      <c r="B22" s="11" t="inlineStr">
        <is>
          <t>➜ lead คุณภาพที่งบนี้ควรได้ (คน/เดือน)</t>
        </is>
      </c>
      <c r="C22" s="58">
        <f>IFERROR($C$21/$C$12,0)</f>
        <v/>
      </c>
      <c r="D22" s="17" t="inlineStr"/>
    </row>
    <row r="23">
      <c r="B23" s="11" t="inlineStr">
        <is>
          <t>➜ รายได้ที่คาดว่าจะได้ (บาท/เดือน)</t>
        </is>
      </c>
      <c r="C23" s="56">
        <f>IFERROR($C$22*$C$11*$C$8,0)</f>
        <v/>
      </c>
      <c r="D23" s="17" t="inlineStr"/>
    </row>
    <row r="24">
      <c r="B24" s="11" t="inlineStr">
        <is>
          <t>➜ กำไรสุทธิที่คาดว่าจะได้ (บาท/เดือน)</t>
        </is>
      </c>
      <c r="C24" s="56">
        <f>$C$23-$C$21-$C$10</f>
        <v/>
      </c>
      <c r="D24" s="17" t="inlineStr">
        <is>
          <t>หักค่าโฆษณาและต้นทุนคงที่แล้ว</t>
        </is>
      </c>
    </row>
    <row r="25">
      <c r="B25" s="11" t="inlineStr">
        <is>
          <t>➜ ROAS — ได้กี่เท่าของค่าโฆษณา</t>
        </is>
      </c>
      <c r="C25" s="60">
        <f>IFERROR($C$23/$C$21,0)</f>
        <v/>
      </c>
      <c r="D25" s="17" t="inlineStr">
        <is>
          <t>ต่ำกว่า 2 เท่า = ยังไม่ควรเพิ่มงบ</t>
        </is>
      </c>
    </row>
    <row r="26">
      <c r="B26" s="11" t="inlineStr">
        <is>
          <t>➜ งบโฆษณาที่ควรใช้เพื่อถึงเป้า (บาท/เดือน)</t>
        </is>
      </c>
      <c r="C26" s="56">
        <f>IFERROR($C$19*$C$12,0)</f>
        <v/>
      </c>
      <c r="D26" s="17" t="inlineStr">
        <is>
          <t>ถ้าตัวเลขนี้สูงกว่างบจริงมาก แปลว่าเป้าสูงเกินกำลังทุน</t>
        </is>
      </c>
    </row>
    <row r="27" ht="24" customHeight="1">
      <c r="B27" s="5" t="inlineStr">
        <is>
          <t>3 · การเงินส่วนตัวและเงินสำรอง</t>
        </is>
      </c>
    </row>
    <row r="28">
      <c r="B28" s="11" t="inlineStr">
        <is>
          <t>ทุนตั้งต้นที่มีตอนนี้ (บาท)</t>
        </is>
      </c>
      <c r="C28" s="54" t="n">
        <v>100000</v>
      </c>
      <c r="D28" s="17" t="inlineStr">
        <is>
          <t>เงินเย็นที่ไม่ต้องใช้ใน 12 เดือน</t>
        </is>
      </c>
    </row>
    <row r="29">
      <c r="B29" s="11" t="inlineStr">
        <is>
          <t>รายจ่ายจำเป็นส่วนตัวต่อเดือน (บาท)</t>
        </is>
      </c>
      <c r="C29" s="54" t="n">
        <v>25000</v>
      </c>
      <c r="D29" s="17" t="inlineStr">
        <is>
          <t>ค่ากิน ค่าผ่อน ค่าเทอม ค่ารักษา</t>
        </is>
      </c>
    </row>
    <row r="30">
      <c r="B30" s="11" t="inlineStr">
        <is>
          <t>จำนวนเดือนที่ต้องมีเงินสำรอง</t>
        </is>
      </c>
      <c r="C30" s="54" t="n">
        <v>6</v>
      </c>
      <c r="D30" s="17" t="inlineStr">
        <is>
          <t>อาชีพรายได้ไม่แน่นอนอย่างนายหน้า ควร 6-12 เดือน</t>
        </is>
      </c>
    </row>
    <row r="31">
      <c r="B31" s="11" t="inlineStr">
        <is>
          <t>➜ เงินสำรองฉุกเฉินเป้าหมาย (บาท)</t>
        </is>
      </c>
      <c r="C31" s="56">
        <f>($C$29+$C$10)*$C$30</f>
        <v/>
      </c>
      <c r="D31" s="17" t="inlineStr">
        <is>
          <t>ต้องเต็มก้อนนี้ก่อน ถึงจะซื้อสินทรัพย์เสี่ยงได้</t>
        </is>
      </c>
    </row>
    <row r="32">
      <c r="B32" s="11" t="inlineStr">
        <is>
          <t>ฐานภาษีเงินได้สูงสุดของคุณ (%)</t>
        </is>
      </c>
      <c r="C32" s="55" t="n">
        <v>0.2</v>
      </c>
      <c r="D32" s="17" t="inlineStr">
        <is>
          <t>ใช้คำนวณผลตอบแทนจากกองลดหย่อนภาษี · ดูขั้นบันไดที่ rd.go.th</t>
        </is>
      </c>
    </row>
    <row r="33" ht="24" customHeight="1">
      <c r="B33" s="5" t="inlineStr">
        <is>
          <t>4 · กฎแบ่งเงิน — ทุกบาทที่ได้รับ แบ่งทันที</t>
        </is>
      </c>
    </row>
    <row r="34">
      <c r="B34" s="11" t="inlineStr">
        <is>
          <t>% เข้าบัญชีภาษี + เงินสำรอง</t>
        </is>
      </c>
      <c r="C34" s="55" t="n">
        <v>0.3</v>
      </c>
      <c r="D34" s="17" t="inlineStr">
        <is>
          <t>นายหน้าถูกหัก ณ ที่จ่าย 3-5% แต่ต้องยื่นเพิ่มตอนปลายปี กันไว้ก่อนปลอดภัยกว่า</t>
        </is>
      </c>
    </row>
    <row r="35">
      <c r="B35" s="11" t="inlineStr">
        <is>
          <t>% เติมกลับเข้าโฆษณา (ขยายธุรกิจ)</t>
        </is>
      </c>
      <c r="C35" s="55" t="n">
        <v>0.2</v>
      </c>
      <c r="D35" s="17" t="inlineStr">
        <is>
          <t>ส่วนที่ทำให้เดือนหน้าโตกว่าเดือนนี้</t>
        </is>
      </c>
    </row>
    <row r="36">
      <c r="B36" s="11" t="inlineStr">
        <is>
          <t>% เข้าพอร์ตลงทุน</t>
        </is>
      </c>
      <c r="C36" s="55" t="n">
        <v>0.3</v>
      </c>
      <c r="D36" s="17" t="inlineStr">
        <is>
          <t>ส่วนที่ทำให้คุณรวยแม้วันที่ไม่ได้ทำงาน</t>
        </is>
      </c>
    </row>
    <row r="37">
      <c r="B37" s="11" t="inlineStr">
        <is>
          <t>% ใช้จ่ายส่วนตัว</t>
        </is>
      </c>
      <c r="C37" s="55" t="n">
        <v>0.2</v>
      </c>
      <c r="D37" s="17" t="inlineStr">
        <is>
          <t>ต้องมี ไม่งั้นทำได้ไม่เกิน 6 เดือนแล้วเลิก</t>
        </is>
      </c>
    </row>
    <row r="38">
      <c r="B38" s="11" t="inlineStr">
        <is>
          <t>➜ รวม (ต้องได้ 100%)</t>
        </is>
      </c>
      <c r="C38" s="61">
        <f>$C$34+$C$35+$C$36+$C$37</f>
        <v/>
      </c>
      <c r="D38" s="17" t="inlineStr">
        <is>
          <t>ถ้าไม่ใช่ 100% ให้กลับไปแก้ 4 ช่องบน</t>
        </is>
      </c>
    </row>
    <row r="39" ht="24" customHeight="1">
      <c r="B39" s="5" t="inlineStr">
        <is>
          <t>5 · สัดส่วนพอร์ตลงทุนเป้าหมาย (ของเงินที่เหลือหลังกันเงินสำรองแล้ว)</t>
        </is>
      </c>
    </row>
    <row r="40">
      <c r="B40" s="11" t="inlineStr">
        <is>
          <t>ชั้น 1 · ปลอดภัย (พันธบัตร / กองตราสารหนี้ / ฝากดอกสูง)</t>
        </is>
      </c>
      <c r="C40" s="55" t="n">
        <v>0.4</v>
      </c>
      <c r="D40" s="17" t="inlineStr">
        <is>
          <t>แทบไม่ขาดทุน · คาดหวัง 1.5-3% ต่อปี</t>
        </is>
      </c>
    </row>
    <row r="41">
      <c r="B41" s="11" t="inlineStr">
        <is>
          <t>ชั้น 2 · รายได้ประจำ (หุ้นกู้เรตติ้งดี / REIT / กองปันผล)</t>
        </is>
      </c>
      <c r="C41" s="55" t="n">
        <v>0.25</v>
      </c>
      <c r="D41" s="17" t="inlineStr">
        <is>
          <t>ผันผวนน้อย มีกระแสเงินสด · คาดหวัง 4-6% ต่อปี</t>
        </is>
      </c>
    </row>
    <row r="42">
      <c r="B42" s="11" t="inlineStr">
        <is>
          <t>ชั้น 3 · เติบโต (กองทุนดัชนีหุ้นโลก ทยอยซื้อ DCA)</t>
        </is>
      </c>
      <c r="C42" s="55" t="n">
        <v>0.25</v>
      </c>
      <c r="D42" s="17" t="inlineStr">
        <is>
          <t>ผันผวนแรง ติดลบ 30% ได้ · แต่ระยะ 10 ปีขึ้นไปคาดหวัง 7-8% ต่อปี</t>
        </is>
      </c>
    </row>
    <row r="43">
      <c r="B43" s="11" t="inlineStr">
        <is>
          <t>ชั้น 4 · ลดหย่อนภาษี (Thai ESG / SSF / RMF)</t>
        </is>
      </c>
      <c r="C43" s="55" t="n">
        <v>0.1</v>
      </c>
      <c r="D43" s="17" t="inlineStr">
        <is>
          <t>ผลตอบแทนจากภาษีคืนเท่ากับฐานภาษีคุณ = ของจริงที่ใกล้เคียง 'ฟรี' ที่สุด</t>
        </is>
      </c>
    </row>
    <row r="44">
      <c r="B44" s="11" t="inlineStr">
        <is>
          <t>➜ รวม (ต้องได้ 100%)</t>
        </is>
      </c>
      <c r="C44" s="61">
        <f>$C$40+$C$41+$C$42+$C$43</f>
        <v/>
      </c>
      <c r="D44" s="17" t="inlineStr"/>
    </row>
    <row r="45">
      <c r="B45" s="11" t="inlineStr">
        <is>
          <t>ผลตอบแทนคาดหวังชั้น 1 (%/ปี)</t>
        </is>
      </c>
      <c r="C45" s="55" t="n">
        <v>0.025</v>
      </c>
      <c r="D45" s="17" t="inlineStr"/>
    </row>
    <row r="46">
      <c r="B46" s="11" t="inlineStr">
        <is>
          <t>ผลตอบแทนคาดหวังชั้น 2 (%/ปี)</t>
        </is>
      </c>
      <c r="C46" s="55" t="n">
        <v>0.05</v>
      </c>
      <c r="D46" s="17" t="inlineStr"/>
    </row>
    <row r="47">
      <c r="B47" s="11" t="inlineStr">
        <is>
          <t>ผลตอบแทนคาดหวังชั้น 3 (%/ปี)</t>
        </is>
      </c>
      <c r="C47" s="55" t="n">
        <v>0.075</v>
      </c>
      <c r="D47" s="17" t="inlineStr"/>
    </row>
    <row r="48">
      <c r="B48" s="11" t="inlineStr">
        <is>
          <t>ผลตอบแทนคาดหวังชั้น 4 (%/ปี)</t>
        </is>
      </c>
      <c r="C48" s="55" t="n">
        <v>0.07000000000000001</v>
      </c>
      <c r="D48" s="17" t="inlineStr">
        <is>
          <t>ยังไม่รวมภาษีคืน</t>
        </is>
      </c>
    </row>
    <row r="49">
      <c r="B49" s="11" t="inlineStr">
        <is>
          <t>➜ ผลตอบแทนพอร์ตรวมที่คาดหวัง (%/ปี)</t>
        </is>
      </c>
      <c r="C49" s="61">
        <f>($C$40*$C$45)+($C$41*$C$46)+($C$42*$C$47)+($C$43*$C$48)</f>
        <v/>
      </c>
      <c r="D49" s="17" t="inlineStr">
        <is>
          <t>ตัวเลขจริงที่ยั่งยืน — ถ้าใครบอกว่าได้มากกว่านี้แบบไม่เสี่ยง คือหลอก</t>
        </is>
      </c>
    </row>
    <row r="50">
      <c r="B50" s="11" t="inlineStr">
        <is>
          <t>➜ บวกผลจากภาษีคืนปีแรก (%/ปี)</t>
        </is>
      </c>
      <c r="C50" s="61">
        <f>$C$49+($C$43*$C$32)</f>
        <v/>
      </c>
      <c r="D50" s="17" t="inlineStr">
        <is>
          <t>เฉพาะปีที่ซื้อกองลดหย่อน · นี่คือ 'ปาฏิหาริย์' ที่คำนวณได้จริง</t>
        </is>
      </c>
    </row>
  </sheetData>
  <mergeCells count="7">
    <mergeCell ref="B33:D33"/>
    <mergeCell ref="A1:D1"/>
    <mergeCell ref="B4:D4"/>
    <mergeCell ref="B27:D27"/>
    <mergeCell ref="A2:D2"/>
    <mergeCell ref="B39:D39"/>
    <mergeCell ref="B16:D16"/>
  </mergeCells>
  <conditionalFormatting sqref="C38">
    <cfRule type="cellIs" priority="1" operator="notEqual" dxfId="7">
      <formula>1</formula>
    </cfRule>
  </conditionalFormatting>
  <conditionalFormatting sqref="C44">
    <cfRule type="cellIs" priority="2" operator="notEqual" dxfId="7">
      <formula>1</formula>
    </cfRule>
  </conditionalFormatting>
  <pageMargins left="0.75" right="0.75" top="1" bottom="1" header="0.5" footer="0.5"/>
</worksheet>
</file>

<file path=xl/worksheets/sheet8.xml><?xml version="1.0" encoding="utf-8"?>
<worksheet xmlns="http://schemas.openxmlformats.org/spreadsheetml/2006/main">
  <sheetPr>
    <tabColor rgb="00B91C1C"/>
    <outlinePr summaryBelow="1" summaryRight="1"/>
    <pageSetUpPr/>
  </sheetPr>
  <dimension ref="A1:D18"/>
  <sheetViews>
    <sheetView showGridLines="0" workbookViewId="0">
      <pane ySplit="3" topLeftCell="A4" activePane="bottomLeft" state="frozen"/>
      <selection pane="bottomLeft" activeCell="A1" sqref="A1"/>
    </sheetView>
  </sheetViews>
  <sheetFormatPr baseColWidth="8" defaultRowHeight="15"/>
  <cols>
    <col width="6" customWidth="1" min="1" max="1"/>
    <col width="62" customWidth="1" min="2" max="2"/>
    <col width="74" customWidth="1" min="3" max="3"/>
    <col width="18" customWidth="1" min="4" max="4"/>
  </cols>
  <sheetData>
    <row r="1" ht="34" customHeight="1">
      <c r="A1" s="1" t="inlineStr">
        <is>
          <t>🚦 กฎเหล็ก 15 ข้อ — อ่านซ้ำทุกวันที่ 1 ของเดือน</t>
        </is>
      </c>
    </row>
    <row r="2" ht="30" customHeight="1">
      <c r="A2" s="2" t="inlineStr">
        <is>
          <t>กฎพวกนี้คือสิ่งที่ทำให้ 'ความเสี่ยงต่ำ' เป็นจริง — ไม่ใช่การเลือกสินทรัพย์ · คนส่วนใหญ่ไม่ได้เจ๊งเพราะเลือกกองผิด แต่เจ๊งเพราะทำผิดกฎพวกนี้</t>
        </is>
      </c>
    </row>
    <row r="3" ht="32" customHeight="1">
      <c r="A3" s="22" t="inlineStr">
        <is>
          <t>ข้อ</t>
        </is>
      </c>
      <c r="B3" s="22" t="inlineStr">
        <is>
          <t>กฎ</t>
        </is>
      </c>
      <c r="C3" s="22" t="inlineStr">
        <is>
          <t>ทำไมต้องมีกฎนี้</t>
        </is>
      </c>
      <c r="D3" s="22" t="inlineStr">
        <is>
          <t>สถานะ</t>
        </is>
      </c>
    </row>
    <row r="4" ht="34" customHeight="1">
      <c r="A4" s="51" t="n">
        <v>1</v>
      </c>
      <c r="B4" s="62" t="inlineStr">
        <is>
          <t>ห้ามลงทุนด้วยเงินที่ต้องใช้ภายใน 12 เดือน</t>
        </is>
      </c>
      <c r="C4" s="63" t="inlineStr">
        <is>
          <t>การถูกบังคับให้ขายตอนตลาดลง คือสาเหตุอันดับ 1 ของการขาดทุนถาวร</t>
        </is>
      </c>
      <c r="D4" s="35" t="inlineStr">
        <is>
          <t>⬜ ยังไม่ทำ</t>
        </is>
      </c>
    </row>
    <row r="5" ht="34" customHeight="1">
      <c r="A5" s="51" t="n">
        <v>2</v>
      </c>
      <c r="B5" s="62" t="inlineStr">
        <is>
          <t>เงินสำรอง 6 เดือนต้องเต็มก่อน จึงจะซื้อสินทรัพย์ชั้น 3 ได้</t>
        </is>
      </c>
      <c r="C5" s="63" t="inlineStr">
        <is>
          <t>รายได้นายหน้าไม่สม่ำเสมอ · เงินสำรองคือสิ่งที่ทำให้คุณไม่ต้องขายของถูก</t>
        </is>
      </c>
      <c r="D5" s="35" t="inlineStr">
        <is>
          <t>⬜ ยังไม่ทำ</t>
        </is>
      </c>
    </row>
    <row r="6" ht="34" customHeight="1">
      <c r="A6" s="51" t="n">
        <v>3</v>
      </c>
      <c r="B6" s="62" t="inlineStr">
        <is>
          <t>ห้ามใช้เงินกู้ บัตรเครดิต หรือมาร์จิ้น มาลงทุนหรือมาเติมค่าโฆษณา</t>
        </is>
      </c>
      <c r="C6" s="63" t="inlineStr">
        <is>
          <t>หนี้เปลี่ยนการขาดทุนชั่วคราวให้กลายเป็นการล้มละลายถาวร</t>
        </is>
      </c>
      <c r="D6" s="35" t="inlineStr">
        <is>
          <t>⬜ ยังไม่ทำ</t>
        </is>
      </c>
    </row>
    <row r="7" ht="34" customHeight="1">
      <c r="A7" s="51" t="n">
        <v>4</v>
      </c>
      <c r="B7" s="62" t="inlineStr">
        <is>
          <t>ห้ามใส่เงินเกิน 10% ของพอร์ตในสินทรัพย์ตัวเดียว (ยกเว้นชั้น 0-1)</t>
        </is>
      </c>
      <c r="C7" s="63" t="inlineStr">
        <is>
          <t>บริษัทเดียวล้มได้ · ตลาดทั้งตลาดล้มยากกว่ามาก</t>
        </is>
      </c>
      <c r="D7" s="35" t="inlineStr">
        <is>
          <t>⬜ ยังไม่ทำ</t>
        </is>
      </c>
    </row>
    <row r="8" ht="34" customHeight="1">
      <c r="A8" s="51" t="n">
        <v>5</v>
      </c>
      <c r="B8" s="62" t="inlineStr">
        <is>
          <t>เพิ่มงบโฆษณาได้เฉพาะเมื่อ ROAS 30 วัน ≥ 3 เท่า และเพิ่มครั้งละไม่เกิน 20%</t>
        </is>
      </c>
      <c r="C8" s="63" t="inlineStr">
        <is>
          <t>การเพิ่มงบตอนตัวเลขยังไม่นิ่ง คือการเร่งเผาเงินให้เร็วขึ้น</t>
        </is>
      </c>
      <c r="D8" s="35" t="inlineStr">
        <is>
          <t>⬜ ยังไม่ทำ</t>
        </is>
      </c>
    </row>
    <row r="9" ht="34" customHeight="1">
      <c r="A9" s="51" t="n">
        <v>6</v>
      </c>
      <c r="B9" s="62" t="inlineStr">
        <is>
          <t>ถ้า CPQL 7 วันเกินเพดาน 2 วันติด ให้หยุดแอด แล้วแก้คอนเทนต์/กลุ่มเป้าหมายก่อน</t>
        </is>
      </c>
      <c r="C9" s="63" t="inlineStr">
        <is>
          <t>เพดานคือเบรกที่คำนวณจากกำไรจริง ไม่ใช่ความรู้สึก</t>
        </is>
      </c>
      <c r="D9" s="35" t="inlineStr">
        <is>
          <t>⬜ ยังไม่ทำ</t>
        </is>
      </c>
    </row>
    <row r="10" ht="34" customHeight="1">
      <c r="A10" s="51" t="n">
        <v>7</v>
      </c>
      <c r="B10" s="62" t="inlineStr">
        <is>
          <t>ห้ามซื้อ-ขายตามข่าว กลุ่มไลน์ หรือคนแนะนำ — ซื้อตามแผน DCA เท่านั้น</t>
        </is>
      </c>
      <c r="C10" s="63" t="inlineStr">
        <is>
          <t>การจับจังหวะตลาดแพ้ DCA ในระยะยาวเกือบทุกกรณี และกินเวลาสมองที่ควรใช้กับธุรกิจ</t>
        </is>
      </c>
      <c r="D10" s="35" t="inlineStr">
        <is>
          <t>⬜ ยังไม่ทำ</t>
        </is>
      </c>
    </row>
    <row r="11" ht="34" customHeight="1">
      <c r="A11" s="51" t="n">
        <v>8</v>
      </c>
      <c r="B11" s="62" t="inlineStr">
        <is>
          <t>Rebalance ปีละ 2 ครั้ง (มิ.ย. และ ธ.ค.) หรือเมื่อชั้นใดเบี่ยงเกิน 5%</t>
        </is>
      </c>
      <c r="C11" s="63" t="inlineStr">
        <is>
          <t>บังคับให้ 'ขายของที่ขึ้น ซื้อของที่ลง' โดยอัตโนมัติ โดยไม่ต้องใช้อารมณ์</t>
        </is>
      </c>
      <c r="D11" s="35" t="inlineStr">
        <is>
          <t>⬜ ยังไม่ทำ</t>
        </is>
      </c>
    </row>
    <row r="12" ht="34" customHeight="1">
      <c r="A12" s="51" t="n">
        <v>9</v>
      </c>
      <c r="B12" s="62" t="inlineStr">
        <is>
          <t>อะไรที่การันตีผลตอบแทนเกิน 10% ต่อเดือน = แชร์ลูกโซ่ 100% ปฏิเสธทันที</t>
        </is>
      </c>
      <c r="C12" s="63" t="inlineStr">
        <is>
          <t>ไม่มีข้อยกเว้น ไม่มี 'รอบนี้พิเศษ' · ตรวจใบอนุญาตที่ SEC Check First ก่อนโอนเงินทุกครั้ง</t>
        </is>
      </c>
      <c r="D12" s="35" t="inlineStr">
        <is>
          <t>⬜ ยังไม่ทำ</t>
        </is>
      </c>
    </row>
    <row r="13" ht="34" customHeight="1">
      <c r="A13" s="51" t="n">
        <v>10</v>
      </c>
      <c r="B13" s="62" t="inlineStr">
        <is>
          <t>บันทึกตัวเลขทุกวันก่อน 21:00 น. ไม่มีข้อยกเว้น</t>
        </is>
      </c>
      <c r="C13" s="63" t="inlineStr">
        <is>
          <t>สิ่งที่ไม่ได้วัด จะไม่มีทางดีขึ้น · 3 นาที/วัน คือราคาที่ถูกที่สุดของความสำเร็จ</t>
        </is>
      </c>
      <c r="D13" s="35" t="inlineStr">
        <is>
          <t>⬜ ยังไม่ทำ</t>
        </is>
      </c>
    </row>
    <row r="14" ht="34" customHeight="1">
      <c r="A14" s="51" t="n">
        <v>11</v>
      </c>
      <c r="B14" s="62" t="inlineStr">
        <is>
          <t>โอนกำไรเข้าพอร์ตทุกวันที่ 1 และ 16 — ก่อนใช้จ่ายอย่างอื่น</t>
        </is>
      </c>
      <c r="C14" s="63" t="inlineStr">
        <is>
          <t>จ่ายให้ตัวเองก่อนเสมอ · เงินที่เหลือค่อยใช้ ไม่ใช่ใช้แล้วค่อยเหลือ</t>
        </is>
      </c>
      <c r="D14" s="35" t="inlineStr">
        <is>
          <t>⬜ ยังไม่ทำ</t>
        </is>
      </c>
    </row>
    <row r="15" ht="34" customHeight="1">
      <c r="A15" s="51" t="n">
        <v>12</v>
      </c>
      <c r="B15" s="62" t="inlineStr">
        <is>
          <t>แยกบัญชีธนาคาร 4 ใบจริง: ธุรกิจ / ภาษี+สำรอง / ลงทุน / ใช้จ่าย</t>
        </is>
      </c>
      <c r="C15" s="63" t="inlineStr">
        <is>
          <t>ระบบชนะวินัย · ถ้าเงินอยู่กองเดียวกัน มันจะถูกใช้หมดเสมอ</t>
        </is>
      </c>
      <c r="D15" s="35" t="inlineStr">
        <is>
          <t>⬜ ยังไม่ทำ</t>
        </is>
      </c>
    </row>
    <row r="16" ht="34" customHeight="1">
      <c r="A16" s="51" t="n">
        <v>13</v>
      </c>
      <c r="B16" s="62" t="inlineStr">
        <is>
          <t>กันภาษี 30% ของค่าคอมทันทีที่ได้รับ</t>
        </is>
      </c>
      <c r="C16" s="63" t="inlineStr">
        <is>
          <t>นายหน้าถูกหัก ณ ที่จ่ายไม่ครบ ต้องยื่นเพิ่มปลายปี · คนที่ลืมกันภาษีคือคนที่เจ็บที่สุดในเดือนมีนาคม</t>
        </is>
      </c>
      <c r="D16" s="35" t="inlineStr">
        <is>
          <t>⬜ ยังไม่ทำ</t>
        </is>
      </c>
    </row>
    <row r="17" ht="34" customHeight="1">
      <c r="A17" s="51" t="n">
        <v>14</v>
      </c>
      <c r="B17" s="62" t="inlineStr">
        <is>
          <t>ตรวจเอกสารสิทธิ์ ผู้ขาย และใบอนุญาตโครงการทุกดีล ก่อนพาลูกค้าดู</t>
        </is>
      </c>
      <c r="C17" s="63" t="inlineStr">
        <is>
          <t>ดีลเดียวที่มีปัญหาทางกฎหมาย ลบกำไรทั้งปีได้ และเสียชื่อถาวรในตลาดเล็กอย่างหาดใหญ่</t>
        </is>
      </c>
      <c r="D17" s="35" t="inlineStr">
        <is>
          <t>⬜ ยังไม่ทำ</t>
        </is>
      </c>
    </row>
    <row r="18" ht="34" customHeight="1">
      <c r="A18" s="51" t="n">
        <v>15</v>
      </c>
      <c r="B18" s="62" t="inlineStr">
        <is>
          <t>พอร์ตติดลบเกิน 20% → ห้ามขาย ห้ามหยุด DCA ให้ซื้อต่อตามแผนเดิม</t>
        </is>
      </c>
      <c r="C18" s="63" t="inlineStr">
        <is>
          <t>ช่วงที่เจ็บที่สุด คือช่วงที่ราคาถูกที่สุด · แผนเขียนไว้ตอนใจนิ่ง ให้เชื่อแผน ไม่ใช่เชื่อใจตอนตกใจ</t>
        </is>
      </c>
      <c r="D18" s="35" t="inlineStr">
        <is>
          <t>⬜ ยังไม่ทำ</t>
        </is>
      </c>
    </row>
  </sheetData>
  <mergeCells count="2">
    <mergeCell ref="A1:D1"/>
    <mergeCell ref="A2:D2"/>
  </mergeCells>
  <conditionalFormatting sqref="D4:D18">
    <cfRule type="expression" priority="1" dxfId="0">
      <formula>ISNUMBER(SEARCH("✅",$D4))</formula>
    </cfRule>
  </conditionalFormatting>
  <dataValidations count="1">
    <dataValidation sqref="D4 D5 D6 D7 D8 D9 D10 D11 D12 D13 D14 D15 D16 D17 D18" showDropDown="0" showInputMessage="0" showErrorMessage="0" allowBlank="1" type="list">
      <formula1>"✅ ทำแล้ว,🔄 กำลังทำ,⬜ ยังไม่ทำ"</formula1>
    </dataValidation>
  </dataValidations>
  <pageMargins left="0.75" right="0.75" top="1" bottom="1" header="0.5" footer="0.5"/>
</worksheet>
</file>

<file path=xl/worksheets/sheet9.xml><?xml version="1.0" encoding="utf-8"?>
<worksheet xmlns="http://schemas.openxmlformats.org/spreadsheetml/2006/main">
  <sheetPr>
    <tabColor rgb="007C2D12"/>
    <outlinePr summaryBelow="1" summaryRight="1"/>
    <pageSetUpPr/>
  </sheetPr>
  <dimension ref="A1:I16"/>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6" customWidth="1" min="3" max="3"/>
    <col width="15" customWidth="1" min="4" max="4"/>
    <col width="15" customWidth="1" min="5" max="5"/>
    <col width="16" customWidth="1" min="6" max="6"/>
    <col width="16" customWidth="1" min="7" max="7"/>
    <col width="18" customWidth="1" min="8" max="8"/>
    <col width="62" customWidth="1" min="9" max="9"/>
  </cols>
  <sheetData>
    <row r="1" ht="34" customHeight="1">
      <c r="A1" s="1" t="inlineStr">
        <is>
          <t>🗓️ แผน 12 เดือน — จากวันนี้ถึงเดือนสิงหาคม 2570</t>
        </is>
      </c>
    </row>
    <row r="2" ht="30" customHeight="1">
      <c r="A2" s="2" t="inlineStr">
        <is>
          <t>ตัวเลขทั้งหมดคำนวณจากแท็บ 'ตั้งค่า' · เป็นประมาณการเพื่อวางแผน ไม่ใช่คำรับประกันผลตอบแทน · ทุกสิ้นเดือน ให้เอาตัวเลขจริงจากแดชบอร์ดไปแก้สมมติฐาน แล้วแผนนี้จะแม่นขึ้นเอง</t>
        </is>
      </c>
    </row>
    <row r="3" ht="32" customHeight="1">
      <c r="A3" s="22" t="inlineStr">
        <is>
          <t>เดือน</t>
        </is>
      </c>
      <c r="B3" s="22" t="inlineStr">
        <is>
          <t>เป้าดีล
ที่ต้องโอน</t>
        </is>
      </c>
      <c r="C3" s="22" t="inlineStr">
        <is>
          <t>เป้ารายได้ค่าคอม
(บาท)</t>
        </is>
      </c>
      <c r="D3" s="22" t="inlineStr">
        <is>
          <t>งบโฆษณา
(บาท)</t>
        </is>
      </c>
      <c r="E3" s="22" t="inlineStr">
        <is>
          <t>ต้นทุนคงที่
(บาท)</t>
        </is>
      </c>
      <c r="F3" s="22" t="inlineStr">
        <is>
          <t>กำไรสุทธิคาด
(บาท)</t>
        </is>
      </c>
      <c r="G3" s="22" t="inlineStr">
        <is>
          <t>เข้าพอร์ต
(บาท)</t>
        </is>
      </c>
      <c r="H3" s="22" t="inlineStr">
        <is>
          <t>มูลค่าพอร์ตสะสม
(บาท)</t>
        </is>
      </c>
      <c r="I3" s="22" t="inlineStr">
        <is>
          <t>โฟกัสหลักของเดือนนี้</t>
        </is>
      </c>
    </row>
    <row r="4" ht="30" customHeight="1">
      <c r="A4" s="64" t="n">
        <v>46266</v>
      </c>
      <c r="B4" s="65" t="n">
        <v>1</v>
      </c>
      <c r="C4" s="52">
        <f>ROUND(B4*'ตั้งค่า'!$C$8,0)</f>
        <v/>
      </c>
      <c r="D4" s="52">
        <f>ROUND(MAX('ตั้งค่า'!$C$21,C4*0.15),0)</f>
        <v/>
      </c>
      <c r="E4" s="52">
        <f>'ตั้งค่า'!$C$10</f>
        <v/>
      </c>
      <c r="F4" s="52">
        <f>C4-D4-E4</f>
        <v/>
      </c>
      <c r="G4" s="52">
        <f>ROUND(C4*'ตั้งค่า'!$C$36,0)</f>
        <v/>
      </c>
      <c r="H4" s="56">
        <f>ROUND('ตั้งค่า'!$C$28*(1+'ตั้งค่า'!$C$49/12)+G4,0)</f>
        <v/>
      </c>
      <c r="I4" s="66" t="inlineStr">
        <is>
          <t>ตั้งระบบ: แยกบัญชี 4 ใบ · เริ่มบันทึกทุกวัน · เติมเงินสำรองเป็นอันดับแรก</t>
        </is>
      </c>
    </row>
    <row r="5" ht="30" customHeight="1">
      <c r="A5" s="64" t="n">
        <v>46296</v>
      </c>
      <c r="B5" s="65" t="n">
        <v>1</v>
      </c>
      <c r="C5" s="52">
        <f>ROUND(B5*'ตั้งค่า'!$C$8,0)</f>
        <v/>
      </c>
      <c r="D5" s="52">
        <f>ROUND(MAX('ตั้งค่า'!$C$21,C5*0.15),0)</f>
        <v/>
      </c>
      <c r="E5" s="52">
        <f>'ตั้งค่า'!$C$10</f>
        <v/>
      </c>
      <c r="F5" s="52">
        <f>C5-D5-E5</f>
        <v/>
      </c>
      <c r="G5" s="52">
        <f>ROUND(C5*'ตั้งค่า'!$C$36,0)</f>
        <v/>
      </c>
      <c r="H5" s="56">
        <f>ROUND(H4*(1+'ตั้งค่า'!$C$49/12)+G5,0)</f>
        <v/>
      </c>
      <c r="I5" s="66" t="inlineStr">
        <is>
          <t>หา CPQL จริงของตัวเอง: ทดสอบคอนเทนต์ 3 แบบ วัดผลครบ 30 วัน แล้วแก้สมมติฐาน</t>
        </is>
      </c>
    </row>
    <row r="6" ht="30" customHeight="1">
      <c r="A6" s="64" t="n">
        <v>46327</v>
      </c>
      <c r="B6" s="65" t="n">
        <v>2</v>
      </c>
      <c r="C6" s="52">
        <f>ROUND(B6*'ตั้งค่า'!$C$8,0)</f>
        <v/>
      </c>
      <c r="D6" s="52">
        <f>ROUND(MAX('ตั้งค่า'!$C$21,C6*0.15),0)</f>
        <v/>
      </c>
      <c r="E6" s="52">
        <f>'ตั้งค่า'!$C$10</f>
        <v/>
      </c>
      <c r="F6" s="52">
        <f>C6-D6-E6</f>
        <v/>
      </c>
      <c r="G6" s="52">
        <f>ROUND(C6*'ตั้งค่า'!$C$36,0)</f>
        <v/>
      </c>
      <c r="H6" s="56">
        <f>ROUND(H5*(1+'ตั้งค่า'!$C$49/12)+G6,0)</f>
        <v/>
      </c>
      <c r="I6" s="66" t="inlineStr">
        <is>
          <t>เติม FAQ ใน Google Sheet ของ LINE bot ให้ครบ 50 คำถาม — ลดเวลาตอบ เพิ่มจำนวน lead ที่รับไหว</t>
        </is>
      </c>
    </row>
    <row r="7" ht="30" customHeight="1">
      <c r="A7" s="64" t="n">
        <v>46357</v>
      </c>
      <c r="B7" s="65" t="n">
        <v>2</v>
      </c>
      <c r="C7" s="52">
        <f>ROUND(B7*'ตั้งค่า'!$C$8,0)</f>
        <v/>
      </c>
      <c r="D7" s="52">
        <f>ROUND(MAX('ตั้งค่า'!$C$21,C7*0.15),0)</f>
        <v/>
      </c>
      <c r="E7" s="52">
        <f>'ตั้งค่า'!$C$10</f>
        <v/>
      </c>
      <c r="F7" s="52">
        <f>C7-D7-E7</f>
        <v/>
      </c>
      <c r="G7" s="52">
        <f>ROUND(C7*'ตั้งค่า'!$C$36,0)</f>
        <v/>
      </c>
      <c r="H7" s="56">
        <f>ROUND(H6*(1+'ตั้งค่า'!$C$49/12)+G7,0)</f>
        <v/>
      </c>
      <c r="I7" s="66" t="inlineStr">
        <is>
          <t>เงินสำรองควรเต็มครึ่งทาง · เริ่มซื้อชั้น 1 (พันธบัตร/กองตราสารหนี้)</t>
        </is>
      </c>
    </row>
    <row r="8" ht="30" customHeight="1">
      <c r="A8" s="64" t="n">
        <v>46388</v>
      </c>
      <c r="B8" s="65" t="n">
        <v>2</v>
      </c>
      <c r="C8" s="52">
        <f>ROUND(B8*'ตั้งค่า'!$C$8,0)</f>
        <v/>
      </c>
      <c r="D8" s="52">
        <f>ROUND(MAX('ตั้งค่า'!$C$21,C8*0.15),0)</f>
        <v/>
      </c>
      <c r="E8" s="52">
        <f>'ตั้งค่า'!$C$10</f>
        <v/>
      </c>
      <c r="F8" s="52">
        <f>C8-D8-E8</f>
        <v/>
      </c>
      <c r="G8" s="52">
        <f>ROUND(C8*'ตั้งค่า'!$C$36,0)</f>
        <v/>
      </c>
      <c r="H8" s="56">
        <f>ROUND(H7*(1+'ตั้งค่า'!$C$49/12)+G8,0)</f>
        <v/>
      </c>
      <c r="I8" s="66" t="inlineStr">
        <is>
          <t>เก็บรีวิวลูกค้าจริง 5 ราย ทำเป็นคอนเทนต์ — รีวิวจริงคือสิ่งที่ลด CPQL ได้มากที่สุด</t>
        </is>
      </c>
    </row>
    <row r="9" ht="30" customHeight="1">
      <c r="A9" s="64" t="n">
        <v>46419</v>
      </c>
      <c r="B9" s="65" t="n">
        <v>3</v>
      </c>
      <c r="C9" s="52">
        <f>ROUND(B9*'ตั้งค่า'!$C$8,0)</f>
        <v/>
      </c>
      <c r="D9" s="52">
        <f>ROUND(MAX('ตั้งค่า'!$C$21,C9*0.15),0)</f>
        <v/>
      </c>
      <c r="E9" s="52">
        <f>'ตั้งค่า'!$C$10</f>
        <v/>
      </c>
      <c r="F9" s="52">
        <f>C9-D9-E9</f>
        <v/>
      </c>
      <c r="G9" s="52">
        <f>ROUND(C9*'ตั้งค่า'!$C$36,0)</f>
        <v/>
      </c>
      <c r="H9" s="56">
        <f>ROUND(H8*(1+'ตั้งค่า'!$C$49/12)+G9,0)</f>
        <v/>
      </c>
      <c r="I9" s="66" t="inlineStr">
        <is>
          <t>ทบทวนครึ่งปี: แก้ทุกสมมติฐานด้วยตัวเลขจริง · Rebalance ครั้งที่ 1</t>
        </is>
      </c>
    </row>
    <row r="10" ht="30" customHeight="1">
      <c r="A10" s="64" t="n">
        <v>46447</v>
      </c>
      <c r="B10" s="65" t="n">
        <v>3</v>
      </c>
      <c r="C10" s="52">
        <f>ROUND(B10*'ตั้งค่า'!$C$8,0)</f>
        <v/>
      </c>
      <c r="D10" s="52">
        <f>ROUND(MAX('ตั้งค่า'!$C$21,C10*0.15),0)</f>
        <v/>
      </c>
      <c r="E10" s="52">
        <f>'ตั้งค่า'!$C$10</f>
        <v/>
      </c>
      <c r="F10" s="52">
        <f>C10-D10-E10</f>
        <v/>
      </c>
      <c r="G10" s="52">
        <f>ROUND(C10*'ตั้งค่า'!$C$36,0)</f>
        <v/>
      </c>
      <c r="H10" s="56">
        <f>ROUND(H9*(1+'ตั้งค่า'!$C$49/12)+G10,0)</f>
        <v/>
      </c>
      <c r="I10" s="66" t="inlineStr">
        <is>
          <t>เงินสำรองเต็ม 100% → เริ่มชั้น 2 (หุ้นกู้เรตติ้งดี / REIT)</t>
        </is>
      </c>
    </row>
    <row r="11" ht="30" customHeight="1">
      <c r="A11" s="64" t="n">
        <v>46478</v>
      </c>
      <c r="B11" s="65" t="n">
        <v>3</v>
      </c>
      <c r="C11" s="52">
        <f>ROUND(B11*'ตั้งค่า'!$C$8,0)</f>
        <v/>
      </c>
      <c r="D11" s="52">
        <f>ROUND(MAX('ตั้งค่า'!$C$21,C11*0.15),0)</f>
        <v/>
      </c>
      <c r="E11" s="52">
        <f>'ตั้งค่า'!$C$10</f>
        <v/>
      </c>
      <c r="F11" s="52">
        <f>C11-D11-E11</f>
        <v/>
      </c>
      <c r="G11" s="52">
        <f>ROUND(C11*'ตั้งค่า'!$C$36,0)</f>
        <v/>
      </c>
      <c r="H11" s="56">
        <f>ROUND(H10*(1+'ตั้งค่า'!$C$49/12)+G11,0)</f>
        <v/>
      </c>
      <c r="I11" s="66" t="inlineStr">
        <is>
          <t>ขยายทรัพย์ในมือ: เซ็นสัญญานายหน้ากับเจ้าของบ้าน/โครงการเพิ่มอีก 10 รายการ</t>
        </is>
      </c>
    </row>
    <row r="12" ht="30" customHeight="1">
      <c r="A12" s="64" t="n">
        <v>46508</v>
      </c>
      <c r="B12" s="65" t="n">
        <v>4</v>
      </c>
      <c r="C12" s="52">
        <f>ROUND(B12*'ตั้งค่า'!$C$8,0)</f>
        <v/>
      </c>
      <c r="D12" s="52">
        <f>ROUND(MAX('ตั้งค่า'!$C$21,C12*0.15),0)</f>
        <v/>
      </c>
      <c r="E12" s="52">
        <f>'ตั้งค่า'!$C$10</f>
        <v/>
      </c>
      <c r="F12" s="52">
        <f>C12-D12-E12</f>
        <v/>
      </c>
      <c r="G12" s="52">
        <f>ROUND(C12*'ตั้งค่า'!$C$36,0)</f>
        <v/>
      </c>
      <c r="H12" s="56">
        <f>ROUND(H11*(1+'ตั้งค่า'!$C$49/12)+G12,0)</f>
        <v/>
      </c>
      <c r="I12" s="66" t="inlineStr">
        <is>
          <t>เริ่ม DCA ชั้น 3 (กองดัชนีหุ้นโลก) ทุกวันที่ 1 · ตั้งคำสั่งซื้ออัตโนมัติ จะได้ไม่ต้องใช้ใจ</t>
        </is>
      </c>
    </row>
    <row r="13" ht="30" customHeight="1">
      <c r="A13" s="64" t="n">
        <v>46539</v>
      </c>
      <c r="B13" s="65" t="n">
        <v>4</v>
      </c>
      <c r="C13" s="52">
        <f>ROUND(B13*'ตั้งค่า'!$C$8,0)</f>
        <v/>
      </c>
      <c r="D13" s="52">
        <f>ROUND(MAX('ตั้งค่า'!$C$21,C13*0.15),0)</f>
        <v/>
      </c>
      <c r="E13" s="52">
        <f>'ตั้งค่า'!$C$10</f>
        <v/>
      </c>
      <c r="F13" s="52">
        <f>C13-D13-E13</f>
        <v/>
      </c>
      <c r="G13" s="52">
        <f>ROUND(C13*'ตั้งค่า'!$C$36,0)</f>
        <v/>
      </c>
      <c r="H13" s="56">
        <f>ROUND(H12*(1+'ตั้งค่า'!$C$49/12)+G13,0)</f>
        <v/>
      </c>
      <c r="I13" s="66" t="inlineStr">
        <is>
          <t>หาผู้ช่วยตอบแชท 1 คน — คอขวดของธุรกิจนี้คือเวลาตอบ ไม่ใช่จำนวน lead</t>
        </is>
      </c>
    </row>
    <row r="14" ht="30" customHeight="1">
      <c r="A14" s="64" t="n">
        <v>46569</v>
      </c>
      <c r="B14" s="65" t="n">
        <v>4</v>
      </c>
      <c r="C14" s="52">
        <f>ROUND(B14*'ตั้งค่า'!$C$8,0)</f>
        <v/>
      </c>
      <c r="D14" s="52">
        <f>ROUND(MAX('ตั้งค่า'!$C$21,C14*0.15),0)</f>
        <v/>
      </c>
      <c r="E14" s="52">
        <f>'ตั้งค่า'!$C$10</f>
        <v/>
      </c>
      <c r="F14" s="52">
        <f>C14-D14-E14</f>
        <v/>
      </c>
      <c r="G14" s="52">
        <f>ROUND(C14*'ตั้งค่า'!$C$36,0)</f>
        <v/>
      </c>
      <c r="H14" s="56">
        <f>ROUND(H13*(1+'ตั้งค่า'!$C$49/12)+G14,0)</f>
        <v/>
      </c>
      <c r="I14" s="66" t="inlineStr">
        <is>
          <t>วางแผนภาษีปลายปี: ซื้อกองลดหย่อน (ชั้น 4) ให้เต็มสิทธิ์ก่อน 31 ธ.ค.</t>
        </is>
      </c>
    </row>
    <row r="15" ht="30" customHeight="1">
      <c r="A15" s="64" t="n">
        <v>46600</v>
      </c>
      <c r="B15" s="65" t="n">
        <v>5</v>
      </c>
      <c r="C15" s="52">
        <f>ROUND(B15*'ตั้งค่า'!$C$8,0)</f>
        <v/>
      </c>
      <c r="D15" s="52">
        <f>ROUND(MAX('ตั้งค่า'!$C$21,C15*0.15),0)</f>
        <v/>
      </c>
      <c r="E15" s="52">
        <f>'ตั้งค่า'!$C$10</f>
        <v/>
      </c>
      <c r="F15" s="52">
        <f>C15-D15-E15</f>
        <v/>
      </c>
      <c r="G15" s="52">
        <f>ROUND(C15*'ตั้งค่า'!$C$36,0)</f>
        <v/>
      </c>
      <c r="H15" s="56">
        <f>ROUND(H14*(1+'ตั้งค่า'!$C$49/12)+G15,0)</f>
        <v/>
      </c>
      <c r="I15" s="66" t="inlineStr">
        <is>
          <t>ปิดปี: สรุปตัวเลขจริงทั้งปี · Rebalance ครั้งที่ 2 · ตั้งเป้าปีหน้าจากของจริง ไม่ใช่จากความหวัง</t>
        </is>
      </c>
    </row>
    <row r="16">
      <c r="A16" s="45" t="inlineStr">
        <is>
          <t>รวม 12 เดือน</t>
        </is>
      </c>
      <c r="B16" s="67">
        <f>SUM(B4:B15)</f>
        <v/>
      </c>
      <c r="C16" s="47">
        <f>SUM(C4:C15)</f>
        <v/>
      </c>
      <c r="D16" s="47">
        <f>SUM(D4:D15)</f>
        <v/>
      </c>
      <c r="E16" s="47">
        <f>SUM(E4:E15)</f>
        <v/>
      </c>
      <c r="F16" s="47">
        <f>SUM(F4:F15)</f>
        <v/>
      </c>
      <c r="G16" s="47">
        <f>SUM(G4:G15)</f>
        <v/>
      </c>
      <c r="H16" s="47">
        <f>H15</f>
        <v/>
      </c>
      <c r="I16" s="68" t="inlineStr">
        <is>
          <t>มูลค่าพอร์ตปลายปีที่ 1 (ประมาณการ)</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2026-08-26T12:04:00Z</dcterms:created>
  <dcterms:modified xsi:type="dcterms:W3CDTF">2026-08-26T12:04:01Z</dcterms:modified>
</cp:coreProperties>
</file>